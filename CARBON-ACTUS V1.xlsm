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Killua\Documents\"/>
    </mc:Choice>
  </mc:AlternateContent>
  <xr:revisionPtr revIDLastSave="0" documentId="8_{64C0B455-242E-466D-BBEB-8D5458C765B3}" xr6:coauthVersionLast="47" xr6:coauthVersionMax="47" xr10:uidLastSave="{00000000-0000-0000-0000-000000000000}"/>
  <bookViews>
    <workbookView xWindow="-120" yWindow="-120" windowWidth="29040" windowHeight="16440" tabRatio="500" activeTab="3" xr2:uid="{00000000-000D-0000-FFFF-FFFF00000000}"/>
  </bookViews>
  <sheets>
    <sheet name="⚡ Inputs" sheetId="1" r:id="rId1"/>
    <sheet name="⚙ Contracts" sheetId="2" r:id="rId2"/>
    <sheet name="📡 Response" sheetId="3" r:id="rId3"/>
    <sheet name="📊 Insights" sheetId="4" r:id="rId4"/>
    <sheet name="_ChartData" sheetId="5" state="hidden" r:id="rId5"/>
    <sheet name="Carbon_A" sheetId="9" state="hidden" r:id="rId6"/>
    <sheet name="Carbon_B" sheetId="8" state="hidden" r:id="rId7"/>
    <sheet name="Carbon_C" sheetId="10" state="hidden" r:id="rId8"/>
  </sheets>
  <definedNames>
    <definedName name="ExternalData_1" localSheetId="2" hidden="1">'📡 Response'!$A$7:$G$13</definedName>
    <definedName name="ExternalData_2" localSheetId="2" hidden="1">'📡 Response'!$A$16:$H$38</definedName>
    <definedName name="ExternalData_3" localSheetId="2" hidden="1">'📡 Response'!$A$42:$H$70</definedName>
    <definedName name="inp_credits">"'⚡ Inputs'!$C$12"</definedName>
    <definedName name="inp_insurance_rate">"'⚡ Inputs'!$C$20"</definedName>
    <definedName name="inp_loan_maturity">"'⚡ Inputs'!$C$18"</definedName>
    <definedName name="inp_loan_notional">"'⚡ Inputs'!$C$16"</definedName>
    <definedName name="inp_loan_rate">"'⚡ Inputs'!$C$21"</definedName>
    <definedName name="inp_loan_start">"'⚡ Inputs'!$C$17"</definedName>
    <definedName name="inp_price_initial">"'⚡ Inputs'!$C$13"</definedName>
    <definedName name="inp_price_recovery">"'⚡ Inputs'!$C$15"</definedName>
    <definedName name="inp_price_stress">"'⚡ Inputs'!$C$14"</definedName>
    <definedName name="inp_swap_fixed">"'⚡ Inputs'!$C$19"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9" i="4" l="1"/>
  <c r="E9" i="4"/>
  <c r="A9" i="4"/>
  <c r="F22" i="4"/>
  <c r="F21" i="4"/>
  <c r="F20" i="4"/>
  <c r="F19" i="4"/>
  <c r="E22" i="4"/>
  <c r="E20" i="4"/>
  <c r="E19" i="4"/>
  <c r="D22" i="4"/>
  <c r="D21" i="4"/>
  <c r="D20" i="4"/>
  <c r="D19" i="4"/>
  <c r="C22" i="4"/>
  <c r="C20" i="4"/>
  <c r="C19" i="4"/>
  <c r="B22" i="4"/>
  <c r="B19" i="4"/>
  <c r="I17" i="1"/>
  <c r="I16" i="1"/>
  <c r="I15" i="1"/>
  <c r="I14" i="1"/>
  <c r="I13" i="1"/>
  <c r="I12" i="1"/>
  <c r="I11" i="1"/>
  <c r="I10" i="1"/>
  <c r="I9" i="1"/>
  <c r="I8" i="1"/>
  <c r="K18" i="2"/>
  <c r="K12" i="2"/>
  <c r="K7" i="2"/>
  <c r="I20" i="2"/>
  <c r="H20" i="2"/>
  <c r="G20" i="2"/>
  <c r="F20" i="2"/>
  <c r="E20" i="2"/>
  <c r="H19" i="2"/>
  <c r="G19" i="2"/>
  <c r="F19" i="2"/>
  <c r="E19" i="2"/>
  <c r="I18" i="2"/>
  <c r="H18" i="2"/>
  <c r="G18" i="2"/>
  <c r="F18" i="2"/>
  <c r="E18" i="2"/>
  <c r="H17" i="2"/>
  <c r="G17" i="2"/>
  <c r="F17" i="2"/>
  <c r="E17" i="2"/>
  <c r="I16" i="2"/>
  <c r="H16" i="2"/>
  <c r="G16" i="2"/>
  <c r="F16" i="2"/>
  <c r="E16" i="2"/>
  <c r="H13" i="2"/>
  <c r="G13" i="2"/>
  <c r="F13" i="2"/>
  <c r="E13" i="2"/>
  <c r="I12" i="2"/>
  <c r="H12" i="2"/>
  <c r="G12" i="2"/>
  <c r="F12" i="2"/>
  <c r="E12" i="2"/>
  <c r="H11" i="2"/>
  <c r="G11" i="2"/>
  <c r="F11" i="2"/>
  <c r="E11" i="2"/>
  <c r="I10" i="2"/>
  <c r="H10" i="2"/>
  <c r="G10" i="2"/>
  <c r="F10" i="2"/>
  <c r="E10" i="2"/>
  <c r="I7" i="2"/>
  <c r="H7" i="2"/>
  <c r="G7" i="2"/>
  <c r="F7" i="2"/>
  <c r="E7" i="2"/>
  <c r="C33" i="1"/>
  <c r="C32" i="1"/>
  <c r="C31" i="1"/>
  <c r="C30" i="1"/>
  <c r="C29" i="1"/>
  <c r="C28" i="1"/>
  <c r="C27" i="1"/>
  <c r="C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D95AF5-B870-4FFE-BFEC-D0B8C68B6564}" keepAlive="1" name="Query - Carbon_A" description="Connection to the 'Carbon_A' query in the workbook." type="5" refreshedVersion="8" background="1" saveData="1">
    <dbPr connection="Provider=Microsoft.Mashup.OleDb.1;Data Source=$Workbook$;Location=Carbon_A;Extended Properties=&quot;&quot;" command="SELECT * FROM [Carbon_A]"/>
  </connection>
  <connection id="2" xr16:uid="{7C738CD1-34A8-48D1-9FC4-D1D73DF729C3}" keepAlive="1" name="Query - Carbon_B" description="Connection to the 'Carbon_B' query in the workbook." type="5" refreshedVersion="8" background="1" saveData="1">
    <dbPr connection="Provider=Microsoft.Mashup.OleDb.1;Data Source=$Workbook$;Location=Carbon_B;Extended Properties=&quot;&quot;" command="SELECT * FROM [Carbon_B]"/>
  </connection>
  <connection id="3" xr16:uid="{737EEFFA-D986-4DEB-8277-38C9601B6A2B}" keepAlive="1" name="Query - Carbon_C" description="Connection to the 'Carbon_C' query in the workbook." type="5" refreshedVersion="8" background="1" saveData="1">
    <dbPr connection="Provider=Microsoft.Mashup.OleDb.1;Data Source=$Workbook$;Location=Carbon_C;Extended Properties=&quot;&quot;" command="SELECT * FROM [Carbon_C]"/>
  </connection>
</connections>
</file>

<file path=xl/sharedStrings.xml><?xml version="1.0" encoding="utf-8"?>
<sst xmlns="http://schemas.openxmlformats.org/spreadsheetml/2006/main" count="642" uniqueCount="272">
  <si>
    <t>CARBON CREDIT RISK ENGINE</t>
  </si>
  <si>
    <t xml:space="preserve">  GreenCell Industries, Chennai  ·  India → United States  ·  10,000 Carbon Credits  ·  ACTUS eventsBatch Engine</t>
  </si>
  <si>
    <t>#</t>
  </si>
  <si>
    <t>PARAMETER</t>
  </si>
  <si>
    <t>VALUE</t>
  </si>
  <si>
    <t>UNIT</t>
  </si>
  <si>
    <t>DESCRIPTION / SOURCE</t>
  </si>
  <si>
    <t xml:space="preserve">  PRIMARY INPUTS  ·  Edit these values to re-run ACTUS</t>
  </si>
  <si>
    <t>Company</t>
  </si>
  <si>
    <t>GreenCell Industries</t>
  </si>
  <si>
    <t>Name</t>
  </si>
  <si>
    <t>John's battery factory, Chennai India — Verra VCS registry</t>
  </si>
  <si>
    <t>Export Destination</t>
  </si>
  <si>
    <t>United States</t>
  </si>
  <si>
    <t>Country</t>
  </si>
  <si>
    <t>Carbon credit buyer market — primary off-taker</t>
  </si>
  <si>
    <t>Carbon Credits Held</t>
  </si>
  <si>
    <t>Credits</t>
  </si>
  <si>
    <t>Verified battery manufacturing efficiency credits — Bureau Veritas</t>
  </si>
  <si>
    <t>Carbon Price — Initial</t>
  </si>
  <si>
    <t>$/credit</t>
  </si>
  <si>
    <t>Market price at loan origination — Sylvera Carbon Ratings 2025</t>
  </si>
  <si>
    <t>Carbon Price — Stress</t>
  </si>
  <si>
    <t>VCM quality crisis price — BeZero Carbon Q1 2026 overcrediting study</t>
  </si>
  <si>
    <t>Carbon Price — Recovery</t>
  </si>
  <si>
    <t>Partial recovery price — 6 month post-crisis normalisation</t>
  </si>
  <si>
    <t>Loan Principal</t>
  </si>
  <si>
    <t>USD</t>
  </si>
  <si>
    <t>67% LTV against USD 420,000 collateral — EcoBank credit facility</t>
  </si>
  <si>
    <t>Loan Start Date</t>
  </si>
  <si>
    <t>Date</t>
  </si>
  <si>
    <t>Disbursement date — factory upgrade funding begins</t>
  </si>
  <si>
    <t>Loan Maturity Date</t>
  </si>
  <si>
    <t>12-month tenor — all ACTUS cashflow events derive from this</t>
  </si>
  <si>
    <t>Swap Fixed Price</t>
  </si>
  <si>
    <t>John pays fixed USD 38 — EcoBank pays floating carbon market price</t>
  </si>
  <si>
    <t>Insurance Premium Rate</t>
  </si>
  <si>
    <t>%/yr</t>
  </si>
  <si>
    <t>2% of credit value per year — carbon delivery/reversal coverage</t>
  </si>
  <si>
    <t>Loan Interest Rate</t>
  </si>
  <si>
    <t>7% annual — carbon collateral loan from EcoBank</t>
  </si>
  <si>
    <t xml:space="preserve">  DERIVED PARAMETERS  ·  Auto-computed — read only</t>
  </si>
  <si>
    <t>Collateral Value — Initial</t>
  </si>
  <si>
    <t>$</t>
  </si>
  <si>
    <t>10,000 credits × $42 = $420,000 — full LTV cushion</t>
  </si>
  <si>
    <t>Collateral Value — Stressed</t>
  </si>
  <si>
    <t>10,000 credits × $28 = $280,000 — equals loan notional ⚠</t>
  </si>
  <si>
    <t>LTV — Initial</t>
  </si>
  <si>
    <t>ratio</t>
  </si>
  <si>
    <t>66.7% — comfortable headroom at origination</t>
  </si>
  <si>
    <t>LTV — Stressed</t>
  </si>
  <si>
    <t>100.0% — triggers EcoBank margin call ⚠ CRITICAL</t>
  </si>
  <si>
    <t>Margin Call Price Threshold</t>
  </si>
  <si>
    <t>USD 28.00 — carbon price floor. Below this = margin call fires</t>
  </si>
  <si>
    <t>Swap Net Payment at Stress</t>
  </si>
  <si>
    <t>(38-28) × 10,000 = $100,000 — EcoBank pays John at Q2 stress</t>
  </si>
  <si>
    <t>Insurance Annual Premium</t>
  </si>
  <si>
    <t>2% × $420,000 = $8,400/yr — full protection against cancellation</t>
  </si>
  <si>
    <t>Loan Annual Interest</t>
  </si>
  <si>
    <t>7% × $280,000 = $19,600/yr — base cost in all scenarios</t>
  </si>
  <si>
    <t xml:space="preserve">  CARBON PRICE PATH  ·  Quarterly  ·  ACTUS Risk Factor: CARBON_PRICE_RATIO</t>
  </si>
  <si>
    <t>QTR</t>
  </si>
  <si>
    <t>DATE</t>
  </si>
  <si>
    <t>PRICE ($/cr)</t>
  </si>
  <si>
    <t>RATIO vs Q0</t>
  </si>
  <si>
    <t>COLLATERAL</t>
  </si>
  <si>
    <t>LTV</t>
  </si>
  <si>
    <t>MARGIN STATUS</t>
  </si>
  <si>
    <t>Q0</t>
  </si>
  <si>
    <t>2026-01-01</t>
  </si>
  <si>
    <t>✅ Safe — LTV 66.7%</t>
  </si>
  <si>
    <t>Q1</t>
  </si>
  <si>
    <t>2026-04-01</t>
  </si>
  <si>
    <t>✅ Safe — Price holds</t>
  </si>
  <si>
    <t>Q2</t>
  </si>
  <si>
    <t>2026-07-01</t>
  </si>
  <si>
    <t>⚠ MARGIN CALL — LTV 100%</t>
  </si>
  <si>
    <t>Q3</t>
  </si>
  <si>
    <t>2026-10-01</t>
  </si>
  <si>
    <t>Q4</t>
  </si>
  <si>
    <t>2027-01-01</t>
  </si>
  <si>
    <t>✅ Recovered — LTV 80%</t>
  </si>
  <si>
    <t xml:space="preserve">  HEDGE PARAMETERS  ·  Three-Layer Protection Stack</t>
  </si>
  <si>
    <t>SWAP FIXED PRICE</t>
  </si>
  <si>
    <t>$38.00/credit</t>
  </si>
  <si>
    <t>John locks in $38 — EcoBank pays floating market. Net at stress: +$100,000</t>
  </si>
  <si>
    <t>INSURANCE PREMIUM</t>
  </si>
  <si>
    <t>2.0%/year</t>
  </si>
  <si>
    <t>2% × $420,000 = $8,400/yr — covers delivery failure &amp; registry cancellation</t>
  </si>
  <si>
    <t>LOAN INTEREST</t>
  </si>
  <si>
    <t>7.0%/year</t>
  </si>
  <si>
    <t>7% × $280,000 = $19,600/yr — base cost present in all three scenarios</t>
  </si>
  <si>
    <t>CONTRACT DEFINITIONS  ·  ACTUS Financial Contracts</t>
  </si>
  <si>
    <t xml:space="preserve">  Review contracts below → Click ▶ SEND TO ACTUS ENGINE → Response sheet populates  ·  http://34.203.247.32:8083/eventsBatch</t>
  </si>
  <si>
    <t>SCN</t>
  </si>
  <si>
    <t>CONTRACT ID</t>
  </si>
  <si>
    <t>TYPE</t>
  </si>
  <si>
    <t>ROLE</t>
  </si>
  <si>
    <t>DEAL DATE</t>
  </si>
  <si>
    <t>START DATE</t>
  </si>
  <si>
    <t>MATURITY</t>
  </si>
  <si>
    <t>NOTIONAL</t>
  </si>
  <si>
    <t>RATE</t>
  </si>
  <si>
    <t>RISK FACTOR</t>
  </si>
  <si>
    <t>DESCRIPTION</t>
  </si>
  <si>
    <t xml:space="preserve">  A · NO HEDGE</t>
  </si>
  <si>
    <t>A</t>
  </si>
  <si>
    <t>carbonLOAN01-A</t>
  </si>
  <si>
    <t>PAM</t>
  </si>
  <si>
    <t>RPA</t>
  </si>
  <si>
    <t>CARBON_PRICE_RATIO</t>
  </si>
  <si>
    <t xml:space="preserve">  B · LOAN + SWAP</t>
  </si>
  <si>
    <t>B</t>
  </si>
  <si>
    <t>carbonLOAN01-B</t>
  </si>
  <si>
    <t>Loan — hedged by carbon price swap</t>
  </si>
  <si>
    <t>carbonSWAP-B</t>
  </si>
  <si>
    <t>SWAPS</t>
  </si>
  <si>
    <t>PFL</t>
  </si>
  <si>
    <t>—</t>
  </si>
  <si>
    <t>Swap wrapper — Delivery Settlement D</t>
  </si>
  <si>
    <t>carbonSWAP-B-FIXED</t>
  </si>
  <si>
    <t>FIL</t>
  </si>
  <si>
    <t>carbonSWAP-B-FLOAT</t>
  </si>
  <si>
    <t>SEL</t>
  </si>
  <si>
    <t>Float leg: EcoBank pays carbon market ratio — resets quarterly</t>
  </si>
  <si>
    <t xml:space="preserve">  C · LOAN + SWAP + INSURANCE</t>
  </si>
  <si>
    <t>C</t>
  </si>
  <si>
    <t>carbonLOAN01-C</t>
  </si>
  <si>
    <t>Layer 1: USD 280k loan</t>
  </si>
  <si>
    <t>carbonSWAP-C</t>
  </si>
  <si>
    <t>Layer 2: Carbon price swap wrapper</t>
  </si>
  <si>
    <t>carbonSWAP-C-FIXED</t>
  </si>
  <si>
    <t>carbonSWAP-C-FLOAT</t>
  </si>
  <si>
    <t>Float leg: EcoBank pays floating carbon price</t>
  </si>
  <si>
    <t>carbonINS_01-C</t>
  </si>
  <si>
    <t>BUY</t>
  </si>
  <si>
    <t>CARBON_DELIVERY_INDEX</t>
  </si>
  <si>
    <t>Layer 3: Insurance — triggers if delivery index &lt; 0.85</t>
  </si>
  <si>
    <t>ACTUS RESPONSE FEED  ·  Live Carbon Credit Cashflow Events</t>
  </si>
  <si>
    <t>SCENARIO</t>
  </si>
  <si>
    <t>EVENT</t>
  </si>
  <si>
    <t>PAYOFF (USD)</t>
  </si>
  <si>
    <t>CURRENCY</t>
  </si>
  <si>
    <t>NOMINAL VALUE</t>
  </si>
  <si>
    <t>NOMINAL RATE</t>
  </si>
  <si>
    <t>STATUS</t>
  </si>
  <si>
    <t>NET COST</t>
  </si>
  <si>
    <t>DECISION COCKPIT  ·  Carbon Credit Risk Analysis</t>
  </si>
  <si>
    <t>GreenCell Industries, Chennai  ·  10,000 Carbon Credits  ·  USD 280,000 Loan  ·  Carbon Price $42 → $28 → $35</t>
  </si>
  <si>
    <t xml:space="preserve">  SCENARIO A</t>
  </si>
  <si>
    <t xml:space="preserve">  SCENARIO B</t>
  </si>
  <si>
    <t xml:space="preserve">  SCENARIO C</t>
  </si>
  <si>
    <t>NO HEDGE</t>
  </si>
  <si>
    <t>LOAN + SWAP</t>
  </si>
  <si>
    <t>FULL PROTECTION</t>
  </si>
  <si>
    <t>LOAN ONLY</t>
  </si>
  <si>
    <t>NET GAIN</t>
  </si>
  <si>
    <t>⚠ MARGIN CALL RISK</t>
  </si>
  <si>
    <t>✅ MARGIN CALL PREVENTED</t>
  </si>
  <si>
    <t>✅ FULLY PROTECTED</t>
  </si>
  <si>
    <t>🏆  OPTIMAL STRATEGY</t>
  </si>
  <si>
    <t xml:space="preserve">  DETAILED COST ANALYSIS  ·  From ACTUS Carbon Event Engine</t>
  </si>
  <si>
    <t>METRIC</t>
  </si>
  <si>
    <t>SCENARIO A</t>
  </si>
  <si>
    <t>SCENARIO B</t>
  </si>
  <si>
    <t>SCENARIO C</t>
  </si>
  <si>
    <t>B vs A DELTA</t>
  </si>
  <si>
    <t>C vs A DELTA</t>
  </si>
  <si>
    <t>RECOMMENDATION</t>
  </si>
  <si>
    <t>Loan Interest</t>
  </si>
  <si>
    <t>Fixed cost in all scenarios</t>
  </si>
  <si>
    <t>Swap Net Gain</t>
  </si>
  <si>
    <t>$57,500</t>
  </si>
  <si>
    <t>B &amp; C both get EcoBank payments</t>
  </si>
  <si>
    <t>Insurance Premium</t>
  </si>
  <si>
    <t>C pays extra for registry protection</t>
  </si>
  <si>
    <t>($37,900)</t>
  </si>
  <si>
    <t>Negative = net gain after swaps</t>
  </si>
  <si>
    <t>Margin Call Risk</t>
  </si>
  <si>
    <t>⚠ HIGH</t>
  </si>
  <si>
    <t>✅ NONE</t>
  </si>
  <si>
    <t>Eliminated</t>
  </si>
  <si>
    <t>Swap raises effective collateral</t>
  </si>
  <si>
    <t>Registry Protection</t>
  </si>
  <si>
    <t>❌ None</t>
  </si>
  <si>
    <t>✅ Full</t>
  </si>
  <si>
    <t>Adds layer 3</t>
  </si>
  <si>
    <t>C protects against Verra cancellation</t>
  </si>
  <si>
    <t>Factory Upgrade</t>
  </si>
  <si>
    <t>⚠ AT RISK</t>
  </si>
  <si>
    <t>✅ Safe</t>
  </si>
  <si>
    <t>Secured</t>
  </si>
  <si>
    <t>USD 280k unfrozen — upgrade proceeds</t>
  </si>
  <si>
    <t>🏆  SCENARIO B: LOAN + SWAP IS THE OPTIMAL STRATEGY FOR JOHN
The carbon price swap eliminates EcoBank's margin call at Q2 when GreenCell's credits fall from $42 to $28.
EcoBank automatically pays John ($38 - $28) × 10,000 = $100,000 under the ACTUS SWAPS contract.
This restores effective collateral from $280,000 to $380,000 — LTV drops from 100% back to 74%.
Factory upgrade proceeds without interruption. USD 280,000 of working capital stays unlocked.
Scenario B net gain after swap: ($37,900)  ·  Margin call: PREVENTED  ·  Risk: NONE</t>
  </si>
  <si>
    <t xml:space="preserve">  CARBON PRICE PATH  ·  ACTUS Risk Factor: CARBON_PRICE_RATIO</t>
  </si>
  <si>
    <t>PRICE</t>
  </si>
  <si>
    <t>RATIO</t>
  </si>
  <si>
    <t>$42.00</t>
  </si>
  <si>
    <t>$420,000</t>
  </si>
  <si>
    <t>66.7%</t>
  </si>
  <si>
    <t>✅ Loan Origination — LTV 67%</t>
  </si>
  <si>
    <t>✅ Price Stable</t>
  </si>
  <si>
    <t>$28.00</t>
  </si>
  <si>
    <t>$280,000</t>
  </si>
  <si>
    <t>100.0%</t>
  </si>
  <si>
    <t>⚠ STRESS — Margin Call Triggers</t>
  </si>
  <si>
    <t>⚠ STRESS — Sustained Pressure</t>
  </si>
  <si>
    <t>$35.00</t>
  </si>
  <si>
    <t>$350,000</t>
  </si>
  <si>
    <t>80.0%</t>
  </si>
  <si>
    <t>✅ Partial Recovery</t>
  </si>
  <si>
    <t>Quarter</t>
  </si>
  <si>
    <t>Carbon Price</t>
  </si>
  <si>
    <t>Swap Fixed</t>
  </si>
  <si>
    <t>Margin Call Floor</t>
  </si>
  <si>
    <t>Scenario A</t>
  </si>
  <si>
    <t>Scenario B (net)</t>
  </si>
  <si>
    <t>Scenario C (net)</t>
  </si>
  <si>
    <t>Scenario</t>
  </si>
  <si>
    <t>Gross Cost</t>
  </si>
  <si>
    <t>Net After Swap</t>
  </si>
  <si>
    <t>A - No Hedge</t>
  </si>
  <si>
    <t>B - Swap Now</t>
  </si>
  <si>
    <t>C - Full Stack</t>
  </si>
  <si>
    <t>Risk Type</t>
  </si>
  <si>
    <t>Unprotected</t>
  </si>
  <si>
    <t>Protected</t>
  </si>
  <si>
    <t>Carbon Price Fall</t>
  </si>
  <si>
    <t>Registry Cancel</t>
  </si>
  <si>
    <t xml:space="preserve">  SWAP NOW GAINS</t>
  </si>
  <si>
    <t xml:space="preserve">  NET GAIN SCENARIO B</t>
  </si>
  <si>
    <t xml:space="preserve">  MARGIN CALLS PREVENTED</t>
  </si>
  <si>
    <t>2 of 2</t>
  </si>
  <si>
    <t>Swap Fixed $38</t>
  </si>
  <si>
    <t>Margin Call Floor $28</t>
  </si>
  <si>
    <t>Q2 ⚠</t>
  </si>
  <si>
    <t>Q3 ⚠</t>
  </si>
  <si>
    <t xml:space="preserve">  📈  VISUAL ANALYTICS  ·  Carbon Price Risk &amp; Hedge Performance</t>
  </si>
  <si>
    <t>loan_notional</t>
  </si>
  <si>
    <t>loan_start</t>
  </si>
  <si>
    <t>swap_fixed</t>
  </si>
  <si>
    <t>insurance_rate</t>
  </si>
  <si>
    <t>loan_rate</t>
  </si>
  <si>
    <t>Value</t>
  </si>
  <si>
    <t>credits</t>
  </si>
  <si>
    <t>price_initial</t>
  </si>
  <si>
    <t>price_stress</t>
  </si>
  <si>
    <t>price_recovery</t>
  </si>
  <si>
    <t>loan_maturity</t>
  </si>
  <si>
    <t xml:space="preserve">  ACTUS INPUT TABLE  ·  Power Query Source</t>
  </si>
  <si>
    <t xml:space="preserve">  Auto-populated by Power Query  ·  POST → 34.203.247.32:8083/eventsBatch  ·  Carbon Credits | $42→$28→$35</t>
  </si>
  <si>
    <t>Coverage %</t>
  </si>
  <si>
    <t>Gap %</t>
  </si>
  <si>
    <t>EventType</t>
  </si>
  <si>
    <t>EventDate</t>
  </si>
  <si>
    <t>Payoff</t>
  </si>
  <si>
    <t>Currency</t>
  </si>
  <si>
    <t>NominalValue</t>
  </si>
  <si>
    <t>NominalRate</t>
  </si>
  <si>
    <t>A · No Hedge</t>
  </si>
  <si>
    <t>IED</t>
  </si>
  <si>
    <t>2026-01-01T00:00</t>
  </si>
  <si>
    <t>IP</t>
  </si>
  <si>
    <t>2026-04-01T00:00</t>
  </si>
  <si>
    <t>2026-07-01T00:00</t>
  </si>
  <si>
    <t>2026-10-01T00:00</t>
  </si>
  <si>
    <t>2027-01-01T00:00</t>
  </si>
  <si>
    <t>MD</t>
  </si>
  <si>
    <t>ContractID</t>
  </si>
  <si>
    <t>B · Loan+Swap</t>
  </si>
  <si>
    <t>RR</t>
  </si>
  <si>
    <t>C · Full Protection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</si>
</sst>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\$#,##0.00"/>
    <numFmt numFmtId="165" formatCode="\$#,##0"/>
    <numFmt numFmtId="166" formatCode="yyyy\-mm\-dd"/>
    <numFmt numFmtId="167" formatCode="0.0%"/>
    <numFmt numFmtId="168" formatCode="0.0000"/>
    <numFmt numFmtId="169" formatCode="yyyy/mm/dd"/>
    <numFmt numFmtId="170" formatCode="[$$-409]#,##0;\([$$-409]#,##0\);&quot;-&quot;"/>
    <numFmt numFmtId="171" formatCode="\+[$$-409]#,##0;\-[$$-409]#,##0;&quot;—&quot;"/>
  </numFmts>
  <fonts count="69" x14ac:knownFonts="1">
    <font>
      <sz val="11"/>
      <color theme="1"/>
      <name val="Calibri"/>
      <family val="2"/>
      <charset val="1"/>
    </font>
    <font>
      <sz val="10"/>
      <color rgb="FF1A6B3C"/>
      <name val="Calibri"/>
      <charset val="1"/>
    </font>
    <font>
      <b/>
      <sz val="8"/>
      <color rgb="FFFFFFFF"/>
      <name val="Calibri"/>
      <charset val="1"/>
    </font>
    <font>
      <b/>
      <sz val="9"/>
      <color rgb="FF1A6B3C"/>
      <name val="Calibri"/>
      <charset val="1"/>
    </font>
    <font>
      <sz val="8"/>
      <color rgb="FF8A9BB0"/>
      <name val="Calibri"/>
      <charset val="1"/>
    </font>
    <font>
      <b/>
      <sz val="10"/>
      <color rgb="FF1A1A2E"/>
      <name val="Calibri"/>
      <charset val="1"/>
    </font>
    <font>
      <b/>
      <sz val="11"/>
      <color rgb="FF1A6B3C"/>
      <name val="Calibri"/>
      <charset val="1"/>
    </font>
    <font>
      <i/>
      <sz val="9"/>
      <color rgb="FF8A9BB0"/>
      <name val="Calibri"/>
      <charset val="1"/>
    </font>
    <font>
      <sz val="9"/>
      <color rgb="FF4A5568"/>
      <name val="Calibri"/>
      <charset val="1"/>
    </font>
    <font>
      <b/>
      <sz val="11"/>
      <color rgb="FF2E4070"/>
      <name val="Calibri"/>
      <charset val="1"/>
    </font>
    <font>
      <b/>
      <sz val="10"/>
      <color rgb="FFC0392B"/>
      <name val="Calibri"/>
      <charset val="1"/>
    </font>
    <font>
      <b/>
      <sz val="10"/>
      <color rgb="FF1A6B3C"/>
      <name val="Calibri"/>
      <charset val="1"/>
    </font>
    <font>
      <sz val="9"/>
      <color rgb="FF1A6B3C"/>
      <name val="Calibri"/>
      <charset val="1"/>
    </font>
    <font>
      <b/>
      <sz val="11"/>
      <color rgb="FFC0392B"/>
      <name val="Calibri"/>
      <charset val="1"/>
    </font>
    <font>
      <b/>
      <sz val="9"/>
      <color rgb="FFC0392B"/>
      <name val="Calibri"/>
      <charset val="1"/>
    </font>
    <font>
      <b/>
      <sz val="9"/>
      <color rgb="FF1565C0"/>
      <name val="Calibri"/>
      <charset val="1"/>
    </font>
    <font>
      <b/>
      <sz val="16"/>
      <color rgb="FF1565C0"/>
      <name val="Calibri"/>
      <charset val="1"/>
    </font>
    <font>
      <i/>
      <sz val="9"/>
      <color rgb="FF4A5568"/>
      <name val="Calibri"/>
      <charset val="1"/>
    </font>
    <font>
      <b/>
      <sz val="9"/>
      <color rgb="FF00695C"/>
      <name val="Calibri"/>
      <charset val="1"/>
    </font>
    <font>
      <b/>
      <sz val="16"/>
      <color rgb="FF00695C"/>
      <name val="Calibri"/>
      <charset val="1"/>
    </font>
    <font>
      <b/>
      <sz val="9"/>
      <color rgb="FF2E4070"/>
      <name val="Calibri"/>
      <charset val="1"/>
    </font>
    <font>
      <b/>
      <sz val="16"/>
      <color rgb="FF2E4070"/>
      <name val="Calibri"/>
      <charset val="1"/>
    </font>
    <font>
      <b/>
      <sz val="18"/>
      <color rgb="FFFFFFFF"/>
      <name val="Calibri"/>
      <charset val="1"/>
    </font>
    <font>
      <sz val="9"/>
      <color rgb="FF1A1A2E"/>
      <name val="Calibri"/>
      <charset val="1"/>
    </font>
    <font>
      <b/>
      <sz val="9"/>
      <color rgb="FFC0392B"/>
      <name val="Courier New"/>
      <charset val="1"/>
    </font>
    <font>
      <b/>
      <sz val="11"/>
      <color rgb="FF1565C0"/>
      <name val="Calibri"/>
      <charset val="1"/>
    </font>
    <font>
      <b/>
      <sz val="9"/>
      <color rgb="FF1565C0"/>
      <name val="Courier New"/>
      <charset val="1"/>
    </font>
    <font>
      <b/>
      <sz val="10"/>
      <color rgb="FF1565C0"/>
      <name val="Calibri"/>
      <charset val="1"/>
    </font>
    <font>
      <b/>
      <sz val="11"/>
      <color rgb="FF00695C"/>
      <name val="Calibri"/>
      <charset val="1"/>
    </font>
    <font>
      <b/>
      <sz val="9"/>
      <color rgb="FF00695C"/>
      <name val="Courier New"/>
      <charset val="1"/>
    </font>
    <font>
      <b/>
      <sz val="10"/>
      <color rgb="FF00695C"/>
      <name val="Calibri"/>
      <charset val="1"/>
    </font>
    <font>
      <sz val="10"/>
      <color rgb="FF1B2A4A"/>
      <name val="Calibri"/>
      <charset val="1"/>
    </font>
    <font>
      <b/>
      <sz val="14"/>
      <color rgb="FF1A1A2E"/>
      <name val="Calibri"/>
      <charset val="1"/>
    </font>
    <font>
      <b/>
      <sz val="24"/>
      <color rgb="FFC0392B"/>
      <name val="Calibri"/>
      <charset val="1"/>
    </font>
    <font>
      <b/>
      <sz val="24"/>
      <color rgb="FF1A6B3C"/>
      <name val="Calibri"/>
      <charset val="1"/>
    </font>
    <font>
      <b/>
      <sz val="10"/>
      <color rgb="FFFFFFFF"/>
      <name val="Calibri"/>
      <charset val="1"/>
    </font>
    <font>
      <sz val="10"/>
      <color rgb="FFC0392B"/>
      <name val="Calibri"/>
      <charset val="1"/>
    </font>
    <font>
      <sz val="10"/>
      <color rgb="FF1565C0"/>
      <name val="Calibri"/>
      <charset val="1"/>
    </font>
    <font>
      <sz val="10"/>
      <color rgb="FF00695C"/>
      <name val="Calibri"/>
      <charset val="1"/>
    </font>
    <font>
      <sz val="10"/>
      <color rgb="FF8A9BB0"/>
      <name val="Calibri"/>
      <charset val="1"/>
    </font>
    <font>
      <sz val="10"/>
      <color rgb="FF1A1A2E"/>
      <name val="Calibri"/>
      <charset val="1"/>
    </font>
    <font>
      <b/>
      <sz val="9"/>
      <color rgb="FF1A6B3C"/>
      <name val="Calibri"/>
    </font>
    <font>
      <b/>
      <sz val="16"/>
      <color rgb="FF1A6B3C"/>
      <name val="Calibri"/>
    </font>
    <font>
      <b/>
      <sz val="9"/>
      <color rgb="FF1565C0"/>
      <name val="Calibri"/>
    </font>
    <font>
      <b/>
      <sz val="16"/>
      <color rgb="FF1565C0"/>
      <name val="Calibri"/>
    </font>
    <font>
      <b/>
      <sz val="9"/>
      <color rgb="FF00695C"/>
      <name val="Calibri"/>
    </font>
    <font>
      <b/>
      <sz val="16"/>
      <color rgb="FF00695C"/>
      <name val="Calibri"/>
    </font>
    <font>
      <sz val="9"/>
      <color rgb="FF4A5568"/>
      <name val="Calibri"/>
      <family val="2"/>
      <charset val="1"/>
    </font>
    <font>
      <sz val="9"/>
      <color rgb="FFC0392B"/>
      <name val="Calibri"/>
      <family val="2"/>
      <charset val="1"/>
    </font>
    <font>
      <b/>
      <sz val="9"/>
      <color rgb="FFFFFFFF"/>
      <name val="Calibri"/>
    </font>
    <font>
      <b/>
      <sz val="10"/>
      <color rgb="FF1A6B3C"/>
      <name val="Calibri"/>
    </font>
    <font>
      <sz val="10"/>
      <color rgb="FF1A6B3C"/>
      <name val="Calibri"/>
      <family val="2"/>
      <charset val="1"/>
    </font>
    <font>
      <b/>
      <sz val="22"/>
      <color rgb="FFFFFFFF"/>
      <name val="Calibri"/>
      <family val="2"/>
      <charset val="1"/>
    </font>
    <font>
      <b/>
      <sz val="8"/>
      <color rgb="FFFFFFFF"/>
      <name val="Calibri"/>
      <family val="2"/>
      <charset val="1"/>
    </font>
    <font>
      <b/>
      <sz val="9"/>
      <color rgb="FF1A6B3C"/>
      <name val="Calibri"/>
      <family val="2"/>
      <charset val="1"/>
    </font>
    <font>
      <sz val="8"/>
      <color rgb="FF8A9BB0"/>
      <name val="Calibri"/>
      <family val="2"/>
      <charset val="1"/>
    </font>
    <font>
      <b/>
      <sz val="10"/>
      <color rgb="FF1A1A2E"/>
      <name val="Calibri"/>
      <family val="2"/>
      <charset val="1"/>
    </font>
    <font>
      <b/>
      <sz val="11"/>
      <color rgb="FF1A6B3C"/>
      <name val="Calibri"/>
      <family val="2"/>
      <charset val="1"/>
    </font>
    <font>
      <i/>
      <sz val="9"/>
      <color rgb="FF8A9BB0"/>
      <name val="Calibri"/>
      <family val="2"/>
      <charset val="1"/>
    </font>
    <font>
      <sz val="9"/>
      <color rgb="FF1A1A2E"/>
      <name val="Calibri"/>
    </font>
    <font>
      <b/>
      <sz val="9"/>
      <color rgb="FF1B2A4A"/>
      <name val="Calibri"/>
      <family val="2"/>
      <charset val="1"/>
    </font>
    <font>
      <b/>
      <sz val="9"/>
      <color rgb="FFFFFFFF"/>
      <name val="Calibri"/>
      <family val="2"/>
    </font>
    <font>
      <b/>
      <sz val="10"/>
      <color rgb="FF2E4070"/>
      <name val="Calibri"/>
      <family val="2"/>
      <charset val="1"/>
    </font>
    <font>
      <b/>
      <sz val="10"/>
      <color rgb="FFC0392B"/>
      <name val="Calibri"/>
      <family val="2"/>
      <charset val="1"/>
    </font>
    <font>
      <b/>
      <sz val="10"/>
      <color rgb="FFE67E00"/>
      <name val="Calibri"/>
      <family val="2"/>
      <charset val="1"/>
    </font>
    <font>
      <b/>
      <sz val="8"/>
      <color rgb="FF1A6B3C"/>
      <name val="Calibri"/>
    </font>
    <font>
      <b/>
      <sz val="16"/>
      <color rgb="FFFFFFFF"/>
      <name val="Calibri"/>
      <family val="2"/>
    </font>
    <font>
      <sz val="10"/>
      <color rgb="FF1B2A4A"/>
      <name val="Calibri"/>
      <family val="2"/>
    </font>
    <font>
      <b/>
      <sz val="12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1A6B3C"/>
        <bgColor rgb="FF00695C"/>
      </patternFill>
    </fill>
    <fill>
      <patternFill patternType="solid">
        <fgColor rgb="FFFFFFFF"/>
        <bgColor rgb="FFF8F9FB"/>
      </patternFill>
    </fill>
    <fill>
      <patternFill patternType="solid">
        <fgColor rgb="FFE8F5EE"/>
        <bgColor rgb="FFE0F2F1"/>
      </patternFill>
    </fill>
    <fill>
      <patternFill patternType="solid">
        <fgColor rgb="FF1B2A4A"/>
        <bgColor rgb="FF1A1A2E"/>
      </patternFill>
    </fill>
    <fill>
      <patternFill patternType="solid">
        <fgColor rgb="FFF2F4F7"/>
        <bgColor rgb="FFEEF1F8"/>
      </patternFill>
    </fill>
    <fill>
      <patternFill patternType="solid">
        <fgColor rgb="FFF8F9FB"/>
        <bgColor rgb="FFF0FAF4"/>
      </patternFill>
    </fill>
    <fill>
      <patternFill patternType="solid">
        <fgColor rgb="FFEEF1F8"/>
        <bgColor rgb="FFF2F4F7"/>
      </patternFill>
    </fill>
    <fill>
      <patternFill patternType="solid">
        <fgColor rgb="FFFDF2F0"/>
        <bgColor rgb="FFFFF8E7"/>
      </patternFill>
    </fill>
    <fill>
      <patternFill patternType="solid">
        <fgColor rgb="FFFFF8E7"/>
        <bgColor rgb="FFFDF2F0"/>
      </patternFill>
    </fill>
    <fill>
      <patternFill patternType="solid">
        <fgColor rgb="FFF0FAF4"/>
        <bgColor rgb="FFF2F4F7"/>
      </patternFill>
    </fill>
    <fill>
      <patternFill patternType="solid">
        <fgColor rgb="FFEEF4FF"/>
        <bgColor rgb="FFEEF1F8"/>
      </patternFill>
    </fill>
    <fill>
      <patternFill patternType="solid">
        <fgColor rgb="FFE0F2F1"/>
        <bgColor rgb="FFE8F5EE"/>
      </patternFill>
    </fill>
    <fill>
      <patternFill patternType="solid">
        <fgColor rgb="FFC0392B"/>
        <bgColor rgb="FF993366"/>
      </patternFill>
    </fill>
    <fill>
      <patternFill patternType="solid">
        <fgColor rgb="FF1565C0"/>
        <bgColor rgb="FF3366FF"/>
      </patternFill>
    </fill>
    <fill>
      <patternFill patternType="solid">
        <fgColor rgb="FF00695C"/>
        <bgColor rgb="FF1A6B3C"/>
      </patternFill>
    </fill>
    <fill>
      <patternFill patternType="solid">
        <fgColor rgb="FFE8F5EE"/>
        <bgColor indexed="64"/>
      </patternFill>
    </fill>
    <fill>
      <patternFill patternType="solid">
        <fgColor rgb="FFEEF4FF"/>
        <bgColor indexed="64"/>
      </patternFill>
    </fill>
    <fill>
      <patternFill patternType="solid">
        <fgColor rgb="FFE0F2F1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B2A4A"/>
        <bgColor indexed="64"/>
      </patternFill>
    </fill>
    <fill>
      <patternFill patternType="solid">
        <fgColor rgb="FF1A6B3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1F8"/>
        <bgColor indexed="64"/>
      </patternFill>
    </fill>
  </fills>
  <borders count="34">
    <border>
      <left/>
      <right/>
      <top/>
      <bottom/>
      <diagonal/>
    </border>
    <border>
      <left style="thick">
        <color rgb="FF1A6B3C"/>
      </left>
      <right/>
      <top/>
      <bottom style="thin">
        <color rgb="FFD0D5DE"/>
      </bottom>
      <diagonal/>
    </border>
    <border>
      <left/>
      <right/>
      <top/>
      <bottom style="medium">
        <color rgb="FF1B2A4A"/>
      </bottom>
      <diagonal/>
    </border>
    <border>
      <left style="medium">
        <color rgb="FF1A6B3C"/>
      </left>
      <right style="thin">
        <color rgb="FFD0D5DE"/>
      </right>
      <top style="thin">
        <color rgb="FFD0D5DE"/>
      </top>
      <bottom style="thin">
        <color rgb="FFD0D5DE"/>
      </bottom>
      <diagonal/>
    </border>
    <border>
      <left style="medium">
        <color rgb="FF2E4070"/>
      </left>
      <right style="thin">
        <color rgb="FFD0D5DE"/>
      </right>
      <top style="thin">
        <color rgb="FFD0D5DE"/>
      </top>
      <bottom style="thin">
        <color rgb="FFD0D5DE"/>
      </bottom>
      <diagonal/>
    </border>
    <border>
      <left style="thick">
        <color rgb="FF1B2A4A"/>
      </left>
      <right/>
      <top/>
      <bottom style="thin">
        <color rgb="FFD0D5DE"/>
      </bottom>
      <diagonal/>
    </border>
    <border>
      <left style="thin">
        <color rgb="FFD0D5DE"/>
      </left>
      <right style="thin">
        <color rgb="FFD0D5DE"/>
      </right>
      <top style="thin">
        <color rgb="FFD0D5DE"/>
      </top>
      <bottom style="thin">
        <color rgb="FFD0D5DE"/>
      </bottom>
      <diagonal/>
    </border>
    <border>
      <left style="thick">
        <color rgb="FF1565C0"/>
      </left>
      <right/>
      <top/>
      <bottom/>
      <diagonal/>
    </border>
    <border>
      <left style="thick">
        <color rgb="FF00695C"/>
      </left>
      <right/>
      <top/>
      <bottom/>
      <diagonal/>
    </border>
    <border>
      <left style="thick">
        <color rgb="FF2E4070"/>
      </left>
      <right/>
      <top/>
      <bottom/>
      <diagonal/>
    </border>
    <border>
      <left style="thick">
        <color rgb="FFC0392B"/>
      </left>
      <right/>
      <top/>
      <bottom style="thin">
        <color rgb="FFD0D5DE"/>
      </bottom>
      <diagonal/>
    </border>
    <border>
      <left style="thick">
        <color rgb="FF1565C0"/>
      </left>
      <right/>
      <top/>
      <bottom style="thin">
        <color rgb="FFD0D5DE"/>
      </bottom>
      <diagonal/>
    </border>
    <border>
      <left style="thick">
        <color rgb="FF00695C"/>
      </left>
      <right/>
      <top/>
      <bottom style="thin">
        <color rgb="FFD0D5DE"/>
      </bottom>
      <diagonal/>
    </border>
    <border>
      <left style="thick">
        <color rgb="FF1B2A4A"/>
      </left>
      <right/>
      <top/>
      <bottom/>
      <diagonal/>
    </border>
    <border>
      <left style="thick">
        <color rgb="FF1A6B3C"/>
      </left>
      <right/>
      <top style="thin">
        <color rgb="FFD0D5DE"/>
      </top>
      <bottom/>
      <diagonal/>
    </border>
    <border>
      <left style="thin">
        <color rgb="FF1A6B3C"/>
      </left>
      <right/>
      <top/>
      <bottom style="thin">
        <color rgb="FFD0D5DE"/>
      </bottom>
      <diagonal/>
    </border>
    <border>
      <left/>
      <right/>
      <top/>
      <bottom style="thin">
        <color rgb="FFD0D5DE"/>
      </bottom>
      <diagonal/>
    </border>
    <border>
      <left/>
      <right style="thin">
        <color rgb="FF1A6B3C"/>
      </right>
      <top/>
      <bottom style="thin">
        <color rgb="FFD0D5DE"/>
      </bottom>
      <diagonal/>
    </border>
    <border>
      <left/>
      <right style="thin">
        <color rgb="FFD0D5DE"/>
      </right>
      <top style="thin">
        <color rgb="FFD0D5DE"/>
      </top>
      <bottom/>
      <diagonal/>
    </border>
    <border>
      <left/>
      <right style="thin">
        <color rgb="FFD0D5DE"/>
      </right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rgb="FFD0D5DE"/>
      </top>
      <bottom/>
      <diagonal/>
    </border>
    <border>
      <left style="medium">
        <color rgb="FF1A6B3C"/>
      </left>
      <right/>
      <top style="thin">
        <color rgb="FFD0D5DE"/>
      </top>
      <bottom/>
      <diagonal/>
    </border>
    <border>
      <left style="thin">
        <color rgb="FFD0D5DE"/>
      </left>
      <right/>
      <top/>
      <bottom/>
      <diagonal/>
    </border>
    <border>
      <left style="medium">
        <color rgb="FF1A6B3C"/>
      </left>
      <right/>
      <top style="thin">
        <color rgb="FFD0D5DE"/>
      </top>
      <bottom style="thin">
        <color rgb="FFD0D5DE"/>
      </bottom>
      <diagonal/>
    </border>
    <border>
      <left style="thin">
        <color rgb="FFD0D5DE"/>
      </left>
      <right/>
      <top/>
      <bottom style="thin">
        <color theme="1"/>
      </bottom>
      <diagonal/>
    </border>
    <border>
      <left/>
      <right/>
      <top style="thin">
        <color rgb="FFD0D5DE"/>
      </top>
      <bottom style="thin">
        <color theme="1"/>
      </bottom>
      <diagonal/>
    </border>
    <border>
      <left style="medium">
        <color rgb="FF2E4070"/>
      </left>
      <right/>
      <top style="thin">
        <color rgb="FFD0D5DE"/>
      </top>
      <bottom/>
      <diagonal/>
    </border>
    <border>
      <left style="medium">
        <color rgb="FFE67E00"/>
      </left>
      <right/>
      <top style="thin">
        <color rgb="FFD0D5DE"/>
      </top>
      <bottom/>
      <diagonal/>
    </border>
    <border>
      <left/>
      <right/>
      <top style="thin">
        <color rgb="FFE8E8E8"/>
      </top>
      <bottom style="thin">
        <color rgb="FFE8E8E8"/>
      </bottom>
      <diagonal/>
    </border>
    <border>
      <left/>
      <right/>
      <top style="thin">
        <color rgb="FFE8E8E8"/>
      </top>
      <bottom/>
      <diagonal/>
    </border>
    <border>
      <left/>
      <right/>
      <top style="medium">
        <color rgb="FF1A6B3C"/>
      </top>
      <bottom style="thin">
        <color rgb="FFE8E8E8"/>
      </bottom>
      <diagonal/>
    </border>
    <border>
      <left/>
      <right style="thin">
        <color rgb="FF1B2A4A"/>
      </right>
      <top/>
      <bottom style="thin">
        <color rgb="FFD0D5DE"/>
      </bottom>
      <diagonal/>
    </border>
  </borders>
  <cellStyleXfs count="1">
    <xf numFmtId="0" fontId="0" fillId="0" borderId="0"/>
  </cellStyleXfs>
  <cellXfs count="195">
    <xf numFmtId="0" fontId="0" fillId="0" borderId="0" xfId="0"/>
    <xf numFmtId="0" fontId="0" fillId="3" borderId="0" xfId="0" applyFill="1"/>
    <xf numFmtId="0" fontId="2" fillId="5" borderId="2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4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left" vertical="center"/>
    </xf>
    <xf numFmtId="0" fontId="7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3" fontId="6" fillId="4" borderId="3" xfId="0" applyNumberFormat="1" applyFont="1" applyFill="1" applyBorder="1" applyAlignment="1">
      <alignment horizontal="center" vertical="center"/>
    </xf>
    <xf numFmtId="164" fontId="9" fillId="4" borderId="4" xfId="0" applyNumberFormat="1" applyFont="1" applyFill="1" applyBorder="1" applyAlignment="1">
      <alignment horizontal="center" vertical="center"/>
    </xf>
    <xf numFmtId="165" fontId="9" fillId="4" borderId="4" xfId="0" applyNumberFormat="1" applyFont="1" applyFill="1" applyBorder="1" applyAlignment="1">
      <alignment horizontal="center" vertical="center"/>
    </xf>
    <xf numFmtId="166" fontId="6" fillId="4" borderId="3" xfId="0" applyNumberFormat="1" applyFont="1" applyFill="1" applyBorder="1" applyAlignment="1">
      <alignment horizontal="center" vertical="center"/>
    </xf>
    <xf numFmtId="164" fontId="6" fillId="4" borderId="3" xfId="0" applyNumberFormat="1" applyFont="1" applyFill="1" applyBorder="1" applyAlignment="1">
      <alignment horizontal="center" vertical="center"/>
    </xf>
    <xf numFmtId="167" fontId="6" fillId="4" borderId="3" xfId="0" applyNumberFormat="1" applyFont="1" applyFill="1" applyBorder="1" applyAlignment="1">
      <alignment horizontal="center" vertical="center"/>
    </xf>
    <xf numFmtId="0" fontId="8" fillId="11" borderId="6" xfId="0" applyFont="1" applyFill="1" applyBorder="1" applyAlignment="1">
      <alignment horizontal="center" vertical="center"/>
    </xf>
    <xf numFmtId="164" fontId="6" fillId="11" borderId="6" xfId="0" applyNumberFormat="1" applyFont="1" applyFill="1" applyBorder="1" applyAlignment="1">
      <alignment horizontal="center" vertical="center"/>
    </xf>
    <xf numFmtId="168" fontId="8" fillId="11" borderId="6" xfId="0" applyNumberFormat="1" applyFont="1" applyFill="1" applyBorder="1" applyAlignment="1">
      <alignment horizontal="center" vertical="center"/>
    </xf>
    <xf numFmtId="165" fontId="8" fillId="11" borderId="6" xfId="0" applyNumberFormat="1" applyFont="1" applyFill="1" applyBorder="1" applyAlignment="1">
      <alignment horizontal="center" vertical="center"/>
    </xf>
    <xf numFmtId="167" fontId="11" fillId="11" borderId="6" xfId="0" applyNumberFormat="1" applyFont="1" applyFill="1" applyBorder="1" applyAlignment="1">
      <alignment horizontal="center" vertical="center"/>
    </xf>
    <xf numFmtId="0" fontId="12" fillId="11" borderId="6" xfId="0" applyFont="1" applyFill="1" applyBorder="1" applyAlignment="1">
      <alignment horizontal="left" vertical="center"/>
    </xf>
    <xf numFmtId="0" fontId="8" fillId="3" borderId="6" xfId="0" applyFont="1" applyFill="1" applyBorder="1" applyAlignment="1">
      <alignment horizontal="center" vertical="center"/>
    </xf>
    <xf numFmtId="164" fontId="6" fillId="3" borderId="6" xfId="0" applyNumberFormat="1" applyFont="1" applyFill="1" applyBorder="1" applyAlignment="1">
      <alignment horizontal="center" vertical="center"/>
    </xf>
    <xf numFmtId="168" fontId="8" fillId="3" borderId="6" xfId="0" applyNumberFormat="1" applyFont="1" applyFill="1" applyBorder="1" applyAlignment="1">
      <alignment horizontal="center" vertical="center"/>
    </xf>
    <xf numFmtId="165" fontId="8" fillId="3" borderId="6" xfId="0" applyNumberFormat="1" applyFont="1" applyFill="1" applyBorder="1" applyAlignment="1">
      <alignment horizontal="center" vertical="center"/>
    </xf>
    <xf numFmtId="167" fontId="11" fillId="3" borderId="6" xfId="0" applyNumberFormat="1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left" vertical="center"/>
    </xf>
    <xf numFmtId="0" fontId="8" fillId="9" borderId="6" xfId="0" applyFont="1" applyFill="1" applyBorder="1" applyAlignment="1">
      <alignment horizontal="center" vertical="center"/>
    </xf>
    <xf numFmtId="164" fontId="13" fillId="9" borderId="6" xfId="0" applyNumberFormat="1" applyFont="1" applyFill="1" applyBorder="1" applyAlignment="1">
      <alignment horizontal="center" vertical="center"/>
    </xf>
    <xf numFmtId="168" fontId="8" fillId="9" borderId="6" xfId="0" applyNumberFormat="1" applyFont="1" applyFill="1" applyBorder="1" applyAlignment="1">
      <alignment horizontal="center" vertical="center"/>
    </xf>
    <xf numFmtId="165" fontId="8" fillId="9" borderId="6" xfId="0" applyNumberFormat="1" applyFont="1" applyFill="1" applyBorder="1" applyAlignment="1">
      <alignment horizontal="center" vertical="center"/>
    </xf>
    <xf numFmtId="167" fontId="10" fillId="9" borderId="6" xfId="0" applyNumberFormat="1" applyFont="1" applyFill="1" applyBorder="1" applyAlignment="1">
      <alignment horizontal="center" vertical="center"/>
    </xf>
    <xf numFmtId="0" fontId="14" fillId="9" borderId="6" xfId="0" applyFont="1" applyFill="1" applyBorder="1" applyAlignment="1">
      <alignment horizontal="left" vertical="center"/>
    </xf>
    <xf numFmtId="0" fontId="16" fillId="12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23" fillId="7" borderId="6" xfId="0" applyFont="1" applyFill="1" applyBorder="1" applyAlignment="1">
      <alignment horizontal="center" vertical="center"/>
    </xf>
    <xf numFmtId="0" fontId="24" fillId="9" borderId="6" xfId="0" applyFont="1" applyFill="1" applyBorder="1" applyAlignment="1">
      <alignment horizontal="center" vertical="center"/>
    </xf>
    <xf numFmtId="165" fontId="23" fillId="7" borderId="6" xfId="0" applyNumberFormat="1" applyFont="1" applyFill="1" applyBorder="1" applyAlignment="1">
      <alignment horizontal="center" vertical="center"/>
    </xf>
    <xf numFmtId="168" fontId="10" fillId="9" borderId="6" xfId="0" applyNumberFormat="1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left" vertical="center"/>
    </xf>
    <xf numFmtId="0" fontId="23" fillId="3" borderId="6" xfId="0" applyFont="1" applyFill="1" applyBorder="1" applyAlignment="1">
      <alignment horizontal="center" vertical="center"/>
    </xf>
    <xf numFmtId="0" fontId="26" fillId="12" borderId="6" xfId="0" applyFont="1" applyFill="1" applyBorder="1" applyAlignment="1">
      <alignment horizontal="center" vertical="center"/>
    </xf>
    <xf numFmtId="165" fontId="23" fillId="3" borderId="6" xfId="0" applyNumberFormat="1" applyFont="1" applyFill="1" applyBorder="1" applyAlignment="1">
      <alignment horizontal="center" vertical="center"/>
    </xf>
    <xf numFmtId="168" fontId="27" fillId="12" borderId="6" xfId="0" applyNumberFormat="1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left" vertical="center"/>
    </xf>
    <xf numFmtId="0" fontId="29" fillId="13" borderId="6" xfId="0" applyFont="1" applyFill="1" applyBorder="1" applyAlignment="1">
      <alignment horizontal="center" vertical="center"/>
    </xf>
    <xf numFmtId="168" fontId="30" fillId="13" borderId="6" xfId="0" applyNumberFormat="1" applyFont="1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9" borderId="0" xfId="0" applyFill="1"/>
    <xf numFmtId="0" fontId="0" fillId="13" borderId="0" xfId="0" applyFill="1"/>
    <xf numFmtId="0" fontId="0" fillId="12" borderId="0" xfId="0" applyFill="1"/>
    <xf numFmtId="0" fontId="5" fillId="3" borderId="6" xfId="0" applyFont="1" applyFill="1" applyBorder="1"/>
    <xf numFmtId="0" fontId="36" fillId="3" borderId="6" xfId="0" applyFont="1" applyFill="1" applyBorder="1" applyAlignment="1">
      <alignment horizontal="center" vertical="center"/>
    </xf>
    <xf numFmtId="0" fontId="37" fillId="3" borderId="6" xfId="0" applyFont="1" applyFill="1" applyBorder="1" applyAlignment="1">
      <alignment horizontal="center" vertical="center"/>
    </xf>
    <xf numFmtId="0" fontId="38" fillId="3" borderId="6" xfId="0" applyFont="1" applyFill="1" applyBorder="1" applyAlignment="1">
      <alignment horizontal="center" vertical="center"/>
    </xf>
    <xf numFmtId="0" fontId="39" fillId="3" borderId="6" xfId="0" applyFont="1" applyFill="1" applyBorder="1" applyAlignment="1">
      <alignment horizontal="center" vertical="center"/>
    </xf>
    <xf numFmtId="0" fontId="5" fillId="7" borderId="6" xfId="0" applyFont="1" applyFill="1" applyBorder="1"/>
    <xf numFmtId="0" fontId="36" fillId="7" borderId="6" xfId="0" applyFont="1" applyFill="1" applyBorder="1" applyAlignment="1">
      <alignment horizontal="center" vertical="center"/>
    </xf>
    <xf numFmtId="0" fontId="37" fillId="7" borderId="6" xfId="0" applyFont="1" applyFill="1" applyBorder="1" applyAlignment="1">
      <alignment horizontal="center" vertical="center"/>
    </xf>
    <xf numFmtId="0" fontId="38" fillId="7" borderId="6" xfId="0" applyFont="1" applyFill="1" applyBorder="1" applyAlignment="1">
      <alignment horizontal="center" vertical="center"/>
    </xf>
    <xf numFmtId="0" fontId="5" fillId="6" borderId="6" xfId="0" applyFont="1" applyFill="1" applyBorder="1"/>
    <xf numFmtId="0" fontId="17" fillId="6" borderId="6" xfId="0" applyFont="1" applyFill="1" applyBorder="1" applyAlignment="1">
      <alignment horizontal="left" vertical="center"/>
    </xf>
    <xf numFmtId="0" fontId="39" fillId="7" borderId="6" xfId="0" applyFont="1" applyFill="1" applyBorder="1" applyAlignment="1">
      <alignment horizontal="center" vertical="center"/>
    </xf>
    <xf numFmtId="0" fontId="6" fillId="11" borderId="6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11" fillId="11" borderId="6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3" fillId="9" borderId="6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14" fontId="0" fillId="0" borderId="0" xfId="0" applyNumberFormat="1"/>
    <xf numFmtId="0" fontId="0" fillId="21" borderId="0" xfId="0" applyFill="1"/>
    <xf numFmtId="0" fontId="0" fillId="2" borderId="22" xfId="0" applyFill="1" applyBorder="1"/>
    <xf numFmtId="0" fontId="53" fillId="5" borderId="0" xfId="0" applyFont="1" applyFill="1" applyAlignment="1">
      <alignment horizontal="center" vertical="center"/>
    </xf>
    <xf numFmtId="0" fontId="53" fillId="5" borderId="0" xfId="0" applyFont="1" applyFill="1" applyAlignment="1">
      <alignment horizontal="left" vertical="center"/>
    </xf>
    <xf numFmtId="0" fontId="0" fillId="3" borderId="22" xfId="0" applyFill="1" applyBorder="1"/>
    <xf numFmtId="0" fontId="55" fillId="3" borderId="0" xfId="0" applyFont="1" applyFill="1" applyAlignment="1">
      <alignment horizontal="center" vertical="center"/>
    </xf>
    <xf numFmtId="0" fontId="56" fillId="3" borderId="0" xfId="0" applyFont="1" applyFill="1" applyAlignment="1">
      <alignment horizontal="left" vertical="center"/>
    </xf>
    <xf numFmtId="0" fontId="57" fillId="4" borderId="23" xfId="0" applyFont="1" applyFill="1" applyBorder="1" applyAlignment="1">
      <alignment horizontal="center" vertical="center"/>
    </xf>
    <xf numFmtId="0" fontId="58" fillId="3" borderId="24" xfId="0" applyFont="1" applyFill="1" applyBorder="1" applyAlignment="1">
      <alignment horizontal="center" vertical="center"/>
    </xf>
    <xf numFmtId="0" fontId="47" fillId="3" borderId="0" xfId="0" applyFont="1" applyFill="1" applyAlignment="1">
      <alignment horizontal="left" vertical="center"/>
    </xf>
    <xf numFmtId="0" fontId="55" fillId="7" borderId="20" xfId="0" applyFont="1" applyFill="1" applyBorder="1" applyAlignment="1">
      <alignment horizontal="center" vertical="center"/>
    </xf>
    <xf numFmtId="0" fontId="56" fillId="7" borderId="20" xfId="0" applyFont="1" applyFill="1" applyBorder="1" applyAlignment="1">
      <alignment horizontal="left" vertical="center"/>
    </xf>
    <xf numFmtId="0" fontId="57" fillId="4" borderId="25" xfId="0" applyFont="1" applyFill="1" applyBorder="1" applyAlignment="1">
      <alignment horizontal="center" vertical="center"/>
    </xf>
    <xf numFmtId="0" fontId="58" fillId="7" borderId="26" xfId="0" applyFont="1" applyFill="1" applyBorder="1" applyAlignment="1">
      <alignment horizontal="center" vertical="center"/>
    </xf>
    <xf numFmtId="0" fontId="47" fillId="7" borderId="20" xfId="0" applyFont="1" applyFill="1" applyBorder="1" applyAlignment="1">
      <alignment horizontal="left" vertical="center"/>
    </xf>
    <xf numFmtId="0" fontId="0" fillId="3" borderId="20" xfId="0" applyFill="1" applyBorder="1"/>
    <xf numFmtId="0" fontId="0" fillId="23" borderId="0" xfId="0" applyFill="1"/>
    <xf numFmtId="165" fontId="62" fillId="8" borderId="28" xfId="0" applyNumberFormat="1" applyFont="1" applyFill="1" applyBorder="1" applyAlignment="1">
      <alignment horizontal="center" vertical="center"/>
    </xf>
    <xf numFmtId="0" fontId="63" fillId="9" borderId="0" xfId="0" applyFont="1" applyFill="1" applyAlignment="1">
      <alignment horizontal="left" vertical="center"/>
    </xf>
    <xf numFmtId="165" fontId="64" fillId="10" borderId="29" xfId="0" applyNumberFormat="1" applyFont="1" applyFill="1" applyBorder="1" applyAlignment="1">
      <alignment horizontal="center" vertical="center"/>
    </xf>
    <xf numFmtId="0" fontId="58" fillId="9" borderId="24" xfId="0" applyFont="1" applyFill="1" applyBorder="1" applyAlignment="1">
      <alignment horizontal="center" vertical="center"/>
    </xf>
    <xf numFmtId="0" fontId="48" fillId="9" borderId="0" xfId="0" applyFont="1" applyFill="1" applyAlignment="1">
      <alignment horizontal="left" vertical="center"/>
    </xf>
    <xf numFmtId="167" fontId="62" fillId="8" borderId="28" xfId="0" applyNumberFormat="1" applyFont="1" applyFill="1" applyBorder="1" applyAlignment="1">
      <alignment horizontal="center" vertical="center"/>
    </xf>
    <xf numFmtId="167" fontId="64" fillId="10" borderId="29" xfId="0" applyNumberFormat="1" applyFont="1" applyFill="1" applyBorder="1" applyAlignment="1">
      <alignment horizontal="center" vertical="center"/>
    </xf>
    <xf numFmtId="0" fontId="56" fillId="7" borderId="0" xfId="0" applyFont="1" applyFill="1" applyAlignment="1">
      <alignment horizontal="left" vertical="center"/>
    </xf>
    <xf numFmtId="0" fontId="58" fillId="7" borderId="24" xfId="0" applyFont="1" applyFill="1" applyBorder="1" applyAlignment="1">
      <alignment horizontal="center" vertical="center"/>
    </xf>
    <xf numFmtId="0" fontId="47" fillId="7" borderId="0" xfId="0" applyFont="1" applyFill="1" applyAlignment="1">
      <alignment horizontal="left" vertical="center"/>
    </xf>
    <xf numFmtId="0" fontId="0" fillId="3" borderId="27" xfId="0" applyFill="1" applyBorder="1"/>
    <xf numFmtId="0" fontId="65" fillId="0" borderId="0" xfId="0" applyFont="1"/>
    <xf numFmtId="0" fontId="59" fillId="20" borderId="32" xfId="0" applyFont="1" applyFill="1" applyBorder="1" applyAlignment="1">
      <alignment horizontal="left"/>
    </xf>
    <xf numFmtId="0" fontId="59" fillId="20" borderId="30" xfId="0" applyFont="1" applyFill="1" applyBorder="1" applyAlignment="1">
      <alignment horizontal="left"/>
    </xf>
    <xf numFmtId="0" fontId="49" fillId="22" borderId="0" xfId="0" applyFont="1" applyFill="1" applyAlignment="1">
      <alignment horizontal="left"/>
    </xf>
    <xf numFmtId="0" fontId="49" fillId="22" borderId="0" xfId="0" applyFont="1" applyFill="1" applyAlignment="1">
      <alignment horizontal="right"/>
    </xf>
    <xf numFmtId="0" fontId="59" fillId="20" borderId="31" xfId="0" applyFont="1" applyFill="1" applyBorder="1" applyAlignment="1">
      <alignment horizontal="left"/>
    </xf>
    <xf numFmtId="3" fontId="50" fillId="17" borderId="32" xfId="0" applyNumberFormat="1" applyFont="1" applyFill="1" applyBorder="1" applyAlignment="1">
      <alignment horizontal="right"/>
    </xf>
    <xf numFmtId="2" fontId="50" fillId="17" borderId="30" xfId="0" applyNumberFormat="1" applyFont="1" applyFill="1" applyBorder="1" applyAlignment="1">
      <alignment horizontal="right"/>
    </xf>
    <xf numFmtId="3" fontId="50" fillId="17" borderId="30" xfId="0" applyNumberFormat="1" applyFont="1" applyFill="1" applyBorder="1" applyAlignment="1">
      <alignment horizontal="right"/>
    </xf>
    <xf numFmtId="169" fontId="50" fillId="17" borderId="30" xfId="0" applyNumberFormat="1" applyFont="1" applyFill="1" applyBorder="1" applyAlignment="1">
      <alignment horizontal="right"/>
    </xf>
    <xf numFmtId="10" fontId="50" fillId="17" borderId="30" xfId="0" applyNumberFormat="1" applyFont="1" applyFill="1" applyBorder="1" applyAlignment="1">
      <alignment horizontal="right"/>
    </xf>
    <xf numFmtId="10" fontId="50" fillId="17" borderId="31" xfId="0" applyNumberFormat="1" applyFont="1" applyFill="1" applyBorder="1" applyAlignment="1">
      <alignment horizontal="right"/>
    </xf>
    <xf numFmtId="0" fontId="61" fillId="21" borderId="2" xfId="0" applyFont="1" applyFill="1" applyBorder="1" applyAlignment="1">
      <alignment horizontal="center"/>
    </xf>
    <xf numFmtId="170" fontId="36" fillId="3" borderId="6" xfId="0" applyNumberFormat="1" applyFont="1" applyFill="1" applyBorder="1" applyAlignment="1">
      <alignment horizontal="center" vertical="center"/>
    </xf>
    <xf numFmtId="170" fontId="36" fillId="7" borderId="6" xfId="0" applyNumberFormat="1" applyFont="1" applyFill="1" applyBorder="1" applyAlignment="1">
      <alignment horizontal="center" vertical="center"/>
    </xf>
    <xf numFmtId="170" fontId="10" fillId="6" borderId="6" xfId="0" applyNumberFormat="1" applyFont="1" applyFill="1" applyBorder="1" applyAlignment="1">
      <alignment horizontal="center" vertical="center"/>
    </xf>
    <xf numFmtId="170" fontId="37" fillId="3" borderId="6" xfId="0" applyNumberFormat="1" applyFont="1" applyFill="1" applyBorder="1" applyAlignment="1">
      <alignment horizontal="center" vertical="center"/>
    </xf>
    <xf numFmtId="170" fontId="37" fillId="7" borderId="6" xfId="0" applyNumberFormat="1" applyFont="1" applyFill="1" applyBorder="1" applyAlignment="1">
      <alignment horizontal="center" vertical="center"/>
    </xf>
    <xf numFmtId="170" fontId="27" fillId="6" borderId="6" xfId="0" applyNumberFormat="1" applyFont="1" applyFill="1" applyBorder="1" applyAlignment="1">
      <alignment horizontal="center" vertical="center"/>
    </xf>
    <xf numFmtId="170" fontId="38" fillId="3" borderId="6" xfId="0" applyNumberFormat="1" applyFont="1" applyFill="1" applyBorder="1" applyAlignment="1">
      <alignment horizontal="center" vertical="center"/>
    </xf>
    <xf numFmtId="170" fontId="38" fillId="7" borderId="6" xfId="0" applyNumberFormat="1" applyFont="1" applyFill="1" applyBorder="1" applyAlignment="1">
      <alignment horizontal="center" vertical="center"/>
    </xf>
    <xf numFmtId="170" fontId="30" fillId="6" borderId="6" xfId="0" applyNumberFormat="1" applyFont="1" applyFill="1" applyBorder="1" applyAlignment="1">
      <alignment horizontal="center" vertical="center"/>
    </xf>
    <xf numFmtId="171" fontId="39" fillId="3" borderId="6" xfId="0" applyNumberFormat="1" applyFont="1" applyFill="1" applyBorder="1" applyAlignment="1">
      <alignment horizontal="center" vertical="center"/>
    </xf>
    <xf numFmtId="171" fontId="1" fillId="11" borderId="6" xfId="0" applyNumberFormat="1" applyFont="1" applyFill="1" applyBorder="1" applyAlignment="1">
      <alignment horizontal="center" vertical="center"/>
    </xf>
    <xf numFmtId="171" fontId="36" fillId="9" borderId="6" xfId="0" applyNumberFormat="1" applyFont="1" applyFill="1" applyBorder="1" applyAlignment="1">
      <alignment horizontal="center" vertical="center"/>
    </xf>
    <xf numFmtId="0" fontId="28" fillId="13" borderId="12" xfId="0" applyFont="1" applyFill="1" applyBorder="1" applyAlignment="1">
      <alignment horizontal="left" vertical="center"/>
    </xf>
    <xf numFmtId="0" fontId="22" fillId="2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0" fillId="2" borderId="0" xfId="0" applyFill="1"/>
    <xf numFmtId="0" fontId="13" fillId="9" borderId="10" xfId="0" applyFont="1" applyFill="1" applyBorder="1" applyAlignment="1">
      <alignment horizontal="left" vertical="center"/>
    </xf>
    <xf numFmtId="0" fontId="25" fillId="12" borderId="11" xfId="0" applyFont="1" applyFill="1" applyBorder="1" applyAlignment="1">
      <alignment horizontal="left" vertical="center"/>
    </xf>
    <xf numFmtId="0" fontId="52" fillId="2" borderId="21" xfId="0" applyFont="1" applyFill="1" applyBorder="1" applyAlignment="1">
      <alignment horizontal="left" vertical="center"/>
    </xf>
    <xf numFmtId="0" fontId="52" fillId="2" borderId="0" xfId="0" applyFont="1" applyFill="1" applyAlignment="1">
      <alignment horizontal="left" vertical="center"/>
    </xf>
    <xf numFmtId="0" fontId="20" fillId="8" borderId="9" xfId="0" applyFont="1" applyFill="1" applyBorder="1" applyAlignment="1">
      <alignment horizontal="left" vertical="center"/>
    </xf>
    <xf numFmtId="0" fontId="17" fillId="8" borderId="0" xfId="0" applyFont="1" applyFill="1" applyAlignment="1">
      <alignment horizontal="left" vertical="center"/>
    </xf>
    <xf numFmtId="0" fontId="60" fillId="6" borderId="5" xfId="0" applyFont="1" applyFill="1" applyBorder="1" applyAlignment="1">
      <alignment horizontal="left" vertical="center"/>
    </xf>
    <xf numFmtId="0" fontId="60" fillId="6" borderId="16" xfId="0" applyFont="1" applyFill="1" applyBorder="1" applyAlignment="1">
      <alignment horizontal="left" vertical="center"/>
    </xf>
    <xf numFmtId="0" fontId="60" fillId="6" borderId="33" xfId="0" applyFont="1" applyFill="1" applyBorder="1" applyAlignment="1">
      <alignment horizontal="left" vertical="center"/>
    </xf>
    <xf numFmtId="0" fontId="51" fillId="4" borderId="1" xfId="0" applyFont="1" applyFill="1" applyBorder="1" applyAlignment="1">
      <alignment horizontal="left" vertical="center"/>
    </xf>
    <xf numFmtId="0" fontId="51" fillId="4" borderId="16" xfId="0" applyFont="1" applyFill="1" applyBorder="1" applyAlignment="1">
      <alignment horizontal="left" vertical="center"/>
    </xf>
    <xf numFmtId="0" fontId="54" fillId="6" borderId="1" xfId="0" applyFont="1" applyFill="1" applyBorder="1" applyAlignment="1">
      <alignment horizontal="left" vertical="center"/>
    </xf>
    <xf numFmtId="0" fontId="54" fillId="6" borderId="16" xfId="0" applyFont="1" applyFill="1" applyBorder="1" applyAlignment="1">
      <alignment horizontal="left" vertical="center"/>
    </xf>
    <xf numFmtId="0" fontId="54" fillId="6" borderId="17" xfId="0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3" fillId="6" borderId="16" xfId="0" applyFont="1" applyFill="1" applyBorder="1" applyAlignment="1">
      <alignment horizontal="left" vertical="center"/>
    </xf>
    <xf numFmtId="0" fontId="15" fillId="12" borderId="7" xfId="0" applyFont="1" applyFill="1" applyBorder="1" applyAlignment="1">
      <alignment horizontal="left" vertical="center"/>
    </xf>
    <xf numFmtId="0" fontId="17" fillId="12" borderId="0" xfId="0" applyFont="1" applyFill="1" applyAlignment="1">
      <alignment horizontal="left" vertical="center"/>
    </xf>
    <xf numFmtId="0" fontId="18" fillId="13" borderId="8" xfId="0" applyFont="1" applyFill="1" applyBorder="1" applyAlignment="1">
      <alignment horizontal="left" vertical="center"/>
    </xf>
    <xf numFmtId="0" fontId="17" fillId="13" borderId="0" xfId="0" applyFont="1" applyFill="1" applyAlignment="1">
      <alignment horizontal="left" vertical="center"/>
    </xf>
    <xf numFmtId="0" fontId="66" fillId="21" borderId="0" xfId="0" applyFont="1" applyFill="1" applyAlignment="1">
      <alignment horizontal="left"/>
    </xf>
    <xf numFmtId="0" fontId="0" fillId="0" borderId="0" xfId="0"/>
    <xf numFmtId="0" fontId="67" fillId="24" borderId="0" xfId="0" applyFont="1" applyFill="1" applyAlignment="1">
      <alignment horizontal="left"/>
    </xf>
    <xf numFmtId="0" fontId="22" fillId="5" borderId="0" xfId="0" applyFont="1" applyFill="1" applyAlignment="1">
      <alignment horizontal="left" vertical="center"/>
    </xf>
    <xf numFmtId="0" fontId="31" fillId="8" borderId="13" xfId="0" applyFont="1" applyFill="1" applyBorder="1" applyAlignment="1">
      <alignment horizontal="left" vertical="center"/>
    </xf>
    <xf numFmtId="0" fontId="0" fillId="5" borderId="0" xfId="0" applyFill="1"/>
    <xf numFmtId="0" fontId="14" fillId="9" borderId="0" xfId="0" applyFont="1" applyFill="1" applyAlignment="1">
      <alignment horizontal="left" vertical="center"/>
    </xf>
    <xf numFmtId="0" fontId="15" fillId="12" borderId="0" xfId="0" applyFont="1" applyFill="1" applyAlignment="1">
      <alignment horizontal="left" vertical="center"/>
    </xf>
    <xf numFmtId="0" fontId="18" fillId="13" borderId="0" xfId="0" applyFont="1" applyFill="1" applyAlignment="1">
      <alignment horizontal="left" vertical="center"/>
    </xf>
    <xf numFmtId="0" fontId="32" fillId="9" borderId="0" xfId="0" applyFont="1" applyFill="1" applyAlignment="1">
      <alignment horizontal="center" vertical="center"/>
    </xf>
    <xf numFmtId="0" fontId="32" fillId="12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170" fontId="33" fillId="9" borderId="0" xfId="0" applyNumberFormat="1" applyFont="1" applyFill="1" applyAlignment="1">
      <alignment horizontal="center" vertical="center"/>
    </xf>
    <xf numFmtId="0" fontId="33" fillId="9" borderId="0" xfId="0" applyFont="1" applyFill="1" applyAlignment="1">
      <alignment horizontal="center" vertical="center"/>
    </xf>
    <xf numFmtId="170" fontId="34" fillId="12" borderId="0" xfId="0" applyNumberFormat="1" applyFont="1" applyFill="1" applyAlignment="1">
      <alignment horizontal="center" vertical="center"/>
    </xf>
    <xf numFmtId="0" fontId="34" fillId="12" borderId="0" xfId="0" applyFont="1" applyFill="1" applyAlignment="1">
      <alignment horizontal="center" vertical="center"/>
    </xf>
    <xf numFmtId="170" fontId="34" fillId="13" borderId="0" xfId="0" applyNumberFormat="1" applyFont="1" applyFill="1" applyAlignment="1">
      <alignment horizontal="center" vertical="center"/>
    </xf>
    <xf numFmtId="0" fontId="34" fillId="13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27" fillId="12" borderId="0" xfId="0" applyFont="1" applyFill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49" fontId="42" fillId="17" borderId="0" xfId="0" applyNumberFormat="1" applyFont="1" applyFill="1" applyAlignment="1">
      <alignment horizontal="center"/>
    </xf>
    <xf numFmtId="49" fontId="42" fillId="17" borderId="19" xfId="0" applyNumberFormat="1" applyFont="1" applyFill="1" applyBorder="1" applyAlignment="1">
      <alignment horizontal="center"/>
    </xf>
    <xf numFmtId="49" fontId="44" fillId="18" borderId="0" xfId="0" applyNumberFormat="1" applyFont="1" applyFill="1" applyAlignment="1">
      <alignment horizontal="center"/>
    </xf>
    <xf numFmtId="49" fontId="44" fillId="18" borderId="19" xfId="0" applyNumberFormat="1" applyFont="1" applyFill="1" applyBorder="1" applyAlignment="1">
      <alignment horizontal="center"/>
    </xf>
    <xf numFmtId="0" fontId="46" fillId="19" borderId="0" xfId="0" applyFont="1" applyFill="1" applyAlignment="1">
      <alignment horizontal="center"/>
    </xf>
    <xf numFmtId="0" fontId="41" fillId="20" borderId="15" xfId="0" applyFont="1" applyFill="1" applyBorder="1" applyAlignment="1">
      <alignment horizontal="left"/>
    </xf>
    <xf numFmtId="0" fontId="41" fillId="20" borderId="16" xfId="0" applyFont="1" applyFill="1" applyBorder="1" applyAlignment="1">
      <alignment horizontal="left"/>
    </xf>
    <xf numFmtId="0" fontId="41" fillId="20" borderId="0" xfId="0" applyFont="1" applyFill="1" applyAlignment="1">
      <alignment horizontal="left"/>
    </xf>
    <xf numFmtId="0" fontId="41" fillId="20" borderId="17" xfId="0" applyFont="1" applyFill="1" applyBorder="1" applyAlignment="1">
      <alignment horizontal="left"/>
    </xf>
    <xf numFmtId="0" fontId="35" fillId="2" borderId="0" xfId="0" applyFont="1" applyFill="1" applyAlignment="1">
      <alignment horizontal="center" vertical="center"/>
    </xf>
    <xf numFmtId="0" fontId="40" fillId="4" borderId="14" xfId="0" applyFont="1" applyFill="1" applyBorder="1" applyAlignment="1">
      <alignment horizontal="left" vertical="center" wrapText="1"/>
    </xf>
    <xf numFmtId="0" fontId="41" fillId="17" borderId="0" xfId="0" applyFont="1" applyFill="1" applyAlignment="1">
      <alignment horizontal="center"/>
    </xf>
    <xf numFmtId="0" fontId="41" fillId="17" borderId="18" xfId="0" applyFont="1" applyFill="1" applyBorder="1" applyAlignment="1">
      <alignment horizontal="center"/>
    </xf>
    <xf numFmtId="0" fontId="43" fillId="18" borderId="0" xfId="0" applyFont="1" applyFill="1" applyAlignment="1">
      <alignment horizontal="center"/>
    </xf>
    <xf numFmtId="0" fontId="43" fillId="18" borderId="18" xfId="0" applyFont="1" applyFill="1" applyBorder="1" applyAlignment="1">
      <alignment horizontal="center"/>
    </xf>
    <xf numFmtId="0" fontId="45" fillId="19" borderId="0" xfId="0" applyFont="1" applyFill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A1A2E"/>
        <name val="Calibri"/>
        <scheme val="none"/>
      </font>
      <fill>
        <patternFill patternType="solid">
          <fgColor indexed="64"/>
          <bgColor rgb="FFF2F4F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rgb="FFE8E8E8"/>
        </top>
        <bottom style="thin">
          <color rgb="FFE8E8E8"/>
        </bottom>
        <vertical/>
        <horizontal/>
      </border>
    </dxf>
    <dxf>
      <border outline="0">
        <left style="thin">
          <color rgb="FF1A6B3C"/>
        </left>
        <right style="thin">
          <color rgb="FF1A6B3C"/>
        </right>
        <top style="thin">
          <color rgb="FF1A6B3C"/>
        </top>
        <bottom style="thin">
          <color rgb="FF1A6B3C"/>
        </bottom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A6B3C"/>
      <rgbColor rgb="FF000080"/>
      <rgbColor rgb="FF808000"/>
      <rgbColor rgb="FF800080"/>
      <rgbColor rgb="FF00695C"/>
      <rgbColor rgb="FFEEF4FF"/>
      <rgbColor rgb="FF808080"/>
      <rgbColor rgb="FF9999FF"/>
      <rgbColor rgb="FF993366"/>
      <rgbColor rgb="FFFFF8E7"/>
      <rgbColor rgb="FFE0F2F1"/>
      <rgbColor rgb="FF660066"/>
      <rgbColor rgb="FFFF8080"/>
      <rgbColor rgb="FF1565C0"/>
      <rgbColor rgb="FFD0D5D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8F5EE"/>
      <rgbColor rgb="FFF0FAF4"/>
      <rgbColor rgb="FFFDF2F0"/>
      <rgbColor rgb="FFF2F4F7"/>
      <rgbColor rgb="FFF8F9FB"/>
      <rgbColor rgb="FFCC99FF"/>
      <rgbColor rgb="FFEEF1F8"/>
      <rgbColor rgb="FF3366FF"/>
      <rgbColor rgb="FF33CCCC"/>
      <rgbColor rgb="FF99CC00"/>
      <rgbColor rgb="FFFFCC00"/>
      <rgbColor rgb="FFFF9900"/>
      <rgbColor rgb="FFE67E00"/>
      <rgbColor rgb="FF4A5568"/>
      <rgbColor rgb="FF8A9BB0"/>
      <rgbColor rgb="FF003366"/>
      <rgbColor rgb="FF2D8A52"/>
      <rgbColor rgb="FF003300"/>
      <rgbColor rgb="FF1A1A2E"/>
      <rgbColor rgb="FFC0392B"/>
      <rgbColor rgb="FF993366"/>
      <rgbColor rgb="FF2E4070"/>
      <rgbColor rgb="FF1B2A4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1B2A4A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Carbon Price Path — Stress Event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1B2A4A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_ChartData!$H$1</c:f>
              <c:strCache>
                <c:ptCount val="1"/>
                <c:pt idx="0">
                  <c:v>Carbon Price</c:v>
                </c:pt>
              </c:strCache>
            </c:strRef>
          </c:tx>
          <c:spPr>
            <a:ln w="38100" cap="rnd">
              <a:solidFill>
                <a:srgbClr val="C0392B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9525">
                <a:solidFill>
                  <a:srgbClr val="C0392B"/>
                </a:solidFill>
                <a:prstDash val="solid"/>
              </a:ln>
              <a:effectLst/>
            </c:spPr>
          </c:marker>
          <c:dLbls>
            <c:numFmt formatCode="&quot;₹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rgbClr val="C0392B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_ChartData!$G$2:$G$6</c:f>
              <c:strCache>
                <c:ptCount val="5"/>
                <c:pt idx="0">
                  <c:v>Q0</c:v>
                </c:pt>
                <c:pt idx="1">
                  <c:v>Q1</c:v>
                </c:pt>
                <c:pt idx="2">
                  <c:v>Q2 ⚠</c:v>
                </c:pt>
                <c:pt idx="3">
                  <c:v>Q3 ⚠</c:v>
                </c:pt>
                <c:pt idx="4">
                  <c:v>Q4</c:v>
                </c:pt>
              </c:strCache>
            </c:strRef>
          </c:cat>
          <c:val>
            <c:numRef>
              <c:f>_ChartData!$H$2:$H$6</c:f>
              <c:numCache>
                <c:formatCode>General</c:formatCode>
                <c:ptCount val="5"/>
                <c:pt idx="0">
                  <c:v>42</c:v>
                </c:pt>
                <c:pt idx="1">
                  <c:v>42</c:v>
                </c:pt>
                <c:pt idx="2">
                  <c:v>28</c:v>
                </c:pt>
                <c:pt idx="3">
                  <c:v>28</c:v>
                </c:pt>
                <c:pt idx="4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87-4B6D-A5C7-C2BBB00426B3}"/>
            </c:ext>
          </c:extLst>
        </c:ser>
        <c:ser>
          <c:idx val="1"/>
          <c:order val="1"/>
          <c:tx>
            <c:strRef>
              <c:f>_ChartData!$I$1</c:f>
              <c:strCache>
                <c:ptCount val="1"/>
                <c:pt idx="0">
                  <c:v>Swap Fixed $38</c:v>
                </c:pt>
              </c:strCache>
            </c:strRef>
          </c:tx>
          <c:spPr>
            <a:ln w="25400" cap="rnd">
              <a:solidFill>
                <a:srgbClr val="27AE60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_ChartData!$G$2:$G$6</c:f>
              <c:strCache>
                <c:ptCount val="5"/>
                <c:pt idx="0">
                  <c:v>Q0</c:v>
                </c:pt>
                <c:pt idx="1">
                  <c:v>Q1</c:v>
                </c:pt>
                <c:pt idx="2">
                  <c:v>Q2 ⚠</c:v>
                </c:pt>
                <c:pt idx="3">
                  <c:v>Q3 ⚠</c:v>
                </c:pt>
                <c:pt idx="4">
                  <c:v>Q4</c:v>
                </c:pt>
              </c:strCache>
            </c:strRef>
          </c:cat>
          <c:val>
            <c:numRef>
              <c:f>_ChartData!$I$2:$I$6</c:f>
              <c:numCache>
                <c:formatCode>General</c:formatCode>
                <c:ptCount val="5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87-4B6D-A5C7-C2BBB00426B3}"/>
            </c:ext>
          </c:extLst>
        </c:ser>
        <c:ser>
          <c:idx val="2"/>
          <c:order val="2"/>
          <c:tx>
            <c:strRef>
              <c:f>_ChartData!$J$1</c:f>
              <c:strCache>
                <c:ptCount val="1"/>
                <c:pt idx="0">
                  <c:v>Margin Call Floor $28</c:v>
                </c:pt>
              </c:strCache>
            </c:strRef>
          </c:tx>
          <c:spPr>
            <a:ln w="25400" cap="rnd">
              <a:solidFill>
                <a:srgbClr val="E67E22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_ChartData!$G$2:$G$6</c:f>
              <c:strCache>
                <c:ptCount val="5"/>
                <c:pt idx="0">
                  <c:v>Q0</c:v>
                </c:pt>
                <c:pt idx="1">
                  <c:v>Q1</c:v>
                </c:pt>
                <c:pt idx="2">
                  <c:v>Q2 ⚠</c:v>
                </c:pt>
                <c:pt idx="3">
                  <c:v>Q3 ⚠</c:v>
                </c:pt>
                <c:pt idx="4">
                  <c:v>Q4</c:v>
                </c:pt>
              </c:strCache>
            </c:strRef>
          </c:cat>
          <c:val>
            <c:numRef>
              <c:f>_ChartData!$J$2:$J$6</c:f>
              <c:numCache>
                <c:formatCode>General</c:formatCode>
                <c:ptCount val="5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87-4B6D-A5C7-C2BBB0042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679455"/>
        <c:axId val="209679935"/>
      </c:lineChart>
      <c:catAx>
        <c:axId val="20967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D0D5DE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1B2A4A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9679935"/>
        <c:crosses val="autoZero"/>
        <c:auto val="1"/>
        <c:lblAlgn val="ctr"/>
        <c:lblOffset val="100"/>
        <c:noMultiLvlLbl val="0"/>
      </c:catAx>
      <c:valAx>
        <c:axId val="209679935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rgbClr val="E8E8E8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rgbClr val="4A5568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IN"/>
                  <a:t>USD per Credit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rgbClr val="4A5568"/>
                  </a:solidFill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&quot;₹&quot;#,##0" sourceLinked="0"/>
        <c:majorTickMark val="none"/>
        <c:minorTickMark val="none"/>
        <c:tickLblPos val="nextTo"/>
        <c:spPr>
          <a:noFill/>
          <a:ln>
            <a:solidFill>
              <a:srgbClr val="D0D5DE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4A5568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9679455"/>
        <c:crosses val="autoZero"/>
        <c:crossBetween val="between"/>
      </c:valAx>
      <c:spPr>
        <a:solidFill>
          <a:srgbClr val="F8F9FA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4A5568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solidFill>
        <a:srgbClr val="1B2A4A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1B2A4A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Total 12-Month Cost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1B2A4A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_ChartData!$B$18</c:f>
              <c:strCache>
                <c:ptCount val="1"/>
                <c:pt idx="0">
                  <c:v>Gross Cost</c:v>
                </c:pt>
              </c:strCache>
            </c:strRef>
          </c:tx>
          <c:spPr>
            <a:solidFill>
              <a:srgbClr val="2C3E50"/>
            </a:solidFill>
            <a:ln>
              <a:noFill/>
            </a:ln>
            <a:effectLst/>
          </c:spPr>
          <c:invertIfNegative val="0"/>
          <c:dLbls>
            <c:numFmt formatCode="[$$-409]#,##0;\([$$-409]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_ChartData!$A$19:$A$21</c:f>
              <c:strCache>
                <c:ptCount val="3"/>
                <c:pt idx="0">
                  <c:v>A - No Hedge</c:v>
                </c:pt>
                <c:pt idx="1">
                  <c:v>B - Swap Now</c:v>
                </c:pt>
                <c:pt idx="2">
                  <c:v>C - Full Stack</c:v>
                </c:pt>
              </c:strCache>
            </c:strRef>
          </c:cat>
          <c:val>
            <c:numRef>
              <c:f>_ChartData!$B$19:$B$21</c:f>
              <c:numCache>
                <c:formatCode>General</c:formatCode>
                <c:ptCount val="3"/>
                <c:pt idx="0">
                  <c:v>19600</c:v>
                </c:pt>
                <c:pt idx="1">
                  <c:v>19600</c:v>
                </c:pt>
                <c:pt idx="2">
                  <c:v>28000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FD-42F0-8993-60ED5F12DE21}"/>
            </c:ext>
          </c:extLst>
        </c:ser>
        <c:ser>
          <c:idx val="1"/>
          <c:order val="1"/>
          <c:tx>
            <c:strRef>
              <c:f>_ChartData!$C$18</c:f>
              <c:strCache>
                <c:ptCount val="1"/>
                <c:pt idx="0">
                  <c:v>Net After Swap</c:v>
                </c:pt>
              </c:strCache>
            </c:strRef>
          </c:tx>
          <c:spPr>
            <a:solidFill>
              <a:srgbClr val="1ABC9C"/>
            </a:solidFill>
            <a:ln>
              <a:noFill/>
            </a:ln>
            <a:effectLst/>
          </c:spPr>
          <c:invertIfNegative val="0"/>
          <c:dLbls>
            <c:numFmt formatCode="[$$-409]#,##0;\([$$-409]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rgbClr val="1B2A4A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_ChartData!$A$19:$A$21</c:f>
              <c:strCache>
                <c:ptCount val="3"/>
                <c:pt idx="0">
                  <c:v>A - No Hedge</c:v>
                </c:pt>
                <c:pt idx="1">
                  <c:v>B - Swap Now</c:v>
                </c:pt>
                <c:pt idx="2">
                  <c:v>C - Full Stack</c:v>
                </c:pt>
              </c:strCache>
            </c:strRef>
          </c:cat>
          <c:val>
            <c:numRef>
              <c:f>_ChartData!$C$19:$C$21</c:f>
              <c:numCache>
                <c:formatCode>General</c:formatCode>
                <c:ptCount val="3"/>
                <c:pt idx="0">
                  <c:v>19600</c:v>
                </c:pt>
                <c:pt idx="1">
                  <c:v>-37900</c:v>
                </c:pt>
                <c:pt idx="2">
                  <c:v>-49100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FD-42F0-8993-60ED5F12D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703935"/>
        <c:axId val="209700575"/>
      </c:barChart>
      <c:catAx>
        <c:axId val="2097039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D0D5DE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1B2A4A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9700575"/>
        <c:crosses val="autoZero"/>
        <c:auto val="1"/>
        <c:lblAlgn val="ctr"/>
        <c:lblOffset val="100"/>
        <c:noMultiLvlLbl val="0"/>
      </c:catAx>
      <c:valAx>
        <c:axId val="2097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E8E8E8"/>
              </a:solidFill>
              <a:prstDash val="solid"/>
              <a:round/>
            </a:ln>
            <a:effectLst/>
          </c:spPr>
        </c:majorGridlines>
        <c:numFmt formatCode="[$$-409]#,##0;\([$$-409]#,##0\)" sourceLinked="0"/>
        <c:majorTickMark val="none"/>
        <c:minorTickMark val="none"/>
        <c:tickLblPos val="nextTo"/>
        <c:spPr>
          <a:noFill/>
          <a:ln>
            <a:solidFill>
              <a:srgbClr val="D0D5DE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4A5568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9703935"/>
        <c:crosses val="autoZero"/>
        <c:crossBetween val="between"/>
      </c:valAx>
      <c:spPr>
        <a:solidFill>
          <a:srgbClr val="F8F9FA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4A5568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solidFill>
        <a:srgbClr val="1B2A4A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1B2A4A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Risk Coverage — Scenario 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1B2A4A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_ChartData!$H$24</c:f>
              <c:strCache>
                <c:ptCount val="1"/>
                <c:pt idx="0">
                  <c:v>Coverage %</c:v>
                </c:pt>
              </c:strCache>
            </c:strRef>
          </c:tx>
          <c:spPr>
            <a:solidFill>
              <a:srgbClr val="1A6B3C"/>
            </a:solidFill>
          </c:spPr>
          <c:dPt>
            <c:idx val="0"/>
            <c:bubble3D val="0"/>
            <c:spPr>
              <a:solidFill>
                <a:srgbClr val="1ABC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D783-46AA-B1E5-2ED9555169AE}"/>
              </c:ext>
            </c:extLst>
          </c:dPt>
          <c:dPt>
            <c:idx val="1"/>
            <c:bubble3D val="0"/>
            <c:spPr>
              <a:solidFill>
                <a:srgbClr val="27AE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83-46AA-B1E5-2ED9555169AE}"/>
              </c:ext>
            </c:extLst>
          </c:dPt>
          <c:dPt>
            <c:idx val="2"/>
            <c:bubble3D val="0"/>
            <c:spPr>
              <a:solidFill>
                <a:srgbClr val="2ECC7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D783-46AA-B1E5-2ED9555169AE}"/>
              </c:ext>
            </c:extLst>
          </c:dPt>
          <c:dLbls>
            <c:numFmt formatCode="0&quot;%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1B2A4A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_ChartData!$G$25:$G$27</c:f>
              <c:strCache>
                <c:ptCount val="3"/>
                <c:pt idx="0">
                  <c:v>Carbon Price Fall</c:v>
                </c:pt>
                <c:pt idx="1">
                  <c:v>Margin Call Risk</c:v>
                </c:pt>
                <c:pt idx="2">
                  <c:v>Registry Cancel</c:v>
                </c:pt>
              </c:strCache>
            </c:strRef>
          </c:cat>
          <c:val>
            <c:numRef>
              <c:f>_ChartData!$H$25:$H$27</c:f>
              <c:numCache>
                <c:formatCode>General</c:formatCode>
                <c:ptCount val="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83-46AA-B1E5-2ED9555169AE}"/>
            </c:ext>
          </c:extLst>
        </c:ser>
        <c:ser>
          <c:idx val="1"/>
          <c:order val="1"/>
          <c:tx>
            <c:strRef>
              <c:f>_ChartData!$I$24</c:f>
              <c:strCache>
                <c:ptCount val="1"/>
                <c:pt idx="0">
                  <c:v>Gap %</c:v>
                </c:pt>
              </c:strCache>
            </c:strRef>
          </c:tx>
          <c:spPr>
            <a:solidFill>
              <a:srgbClr val="C0392B"/>
            </a:solidFill>
          </c:spPr>
          <c:dPt>
            <c:idx val="0"/>
            <c:bubble3D val="0"/>
            <c:spPr>
              <a:solidFill>
                <a:srgbClr val="C0392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961-488E-A778-16582CFE73D0}"/>
              </c:ext>
            </c:extLst>
          </c:dPt>
          <c:dPt>
            <c:idx val="1"/>
            <c:bubble3D val="0"/>
            <c:spPr>
              <a:solidFill>
                <a:srgbClr val="C0392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961-488E-A778-16582CFE73D0}"/>
              </c:ext>
            </c:extLst>
          </c:dPt>
          <c:dPt>
            <c:idx val="2"/>
            <c:bubble3D val="0"/>
            <c:spPr>
              <a:solidFill>
                <a:srgbClr val="C0392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961-488E-A778-16582CFE73D0}"/>
              </c:ext>
            </c:extLst>
          </c:dPt>
          <c:cat>
            <c:strRef>
              <c:f>_ChartData!$G$25:$G$27</c:f>
              <c:strCache>
                <c:ptCount val="3"/>
                <c:pt idx="0">
                  <c:v>Carbon Price Fall</c:v>
                </c:pt>
                <c:pt idx="1">
                  <c:v>Margin Call Risk</c:v>
                </c:pt>
                <c:pt idx="2">
                  <c:v>Registry Cancel</c:v>
                </c:pt>
              </c:strCache>
            </c:strRef>
          </c:cat>
          <c:val>
            <c:numRef>
              <c:f>_ChartData!$I$25:$I$27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83-46AA-B1E5-2ED955516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solidFill>
          <a:srgbClr val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4A5568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solidFill>
        <a:srgbClr val="1B2A4A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1B2A4A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Quarterly Net Cashflow by Scenario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1B2A4A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_ChartData!$B$10</c:f>
              <c:strCache>
                <c:ptCount val="1"/>
                <c:pt idx="0">
                  <c:v>Scenario A</c:v>
                </c:pt>
              </c:strCache>
            </c:strRef>
          </c:tx>
          <c:spPr>
            <a:solidFill>
              <a:srgbClr val="C0392B"/>
            </a:solidFill>
            <a:ln>
              <a:noFill/>
            </a:ln>
            <a:effectLst/>
          </c:spPr>
          <c:invertIfNegative val="0"/>
          <c:dLbls>
            <c:numFmt formatCode="[$$-409]#,##0;\([$$-409]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rgbClr val="1B2A4A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_ChartData!$A$11:$A$14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_ChartData!$B$11:$B$14</c:f>
              <c:numCache>
                <c:formatCode>General</c:formatCode>
                <c:ptCount val="4"/>
                <c:pt idx="0">
                  <c:v>4900</c:v>
                </c:pt>
                <c:pt idx="1">
                  <c:v>4900</c:v>
                </c:pt>
                <c:pt idx="2">
                  <c:v>4900</c:v>
                </c:pt>
                <c:pt idx="3">
                  <c:v>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C9-4E7B-951E-E22C873D77BA}"/>
            </c:ext>
          </c:extLst>
        </c:ser>
        <c:ser>
          <c:idx val="1"/>
          <c:order val="1"/>
          <c:tx>
            <c:strRef>
              <c:f>_ChartData!$C$10</c:f>
              <c:strCache>
                <c:ptCount val="1"/>
                <c:pt idx="0">
                  <c:v>Scenario B (net)</c:v>
                </c:pt>
              </c:strCache>
            </c:strRef>
          </c:tx>
          <c:spPr>
            <a:solidFill>
              <a:srgbClr val="1565C0"/>
            </a:solidFill>
            <a:ln>
              <a:noFill/>
            </a:ln>
            <a:effectLst/>
          </c:spPr>
          <c:invertIfNegative val="0"/>
          <c:dLbls>
            <c:numFmt formatCode="[$$-409]#,##0;\([$$-409]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rgbClr val="1B2A4A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_ChartData!$A$11:$A$14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_ChartData!$C$11:$C$14</c:f>
              <c:numCache>
                <c:formatCode>General</c:formatCode>
                <c:ptCount val="4"/>
                <c:pt idx="0">
                  <c:v>4900</c:v>
                </c:pt>
                <c:pt idx="1">
                  <c:v>-20100</c:v>
                </c:pt>
                <c:pt idx="2">
                  <c:v>-20100</c:v>
                </c:pt>
                <c:pt idx="3">
                  <c:v>-2600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C9-4E7B-951E-E22C873D77BA}"/>
            </c:ext>
          </c:extLst>
        </c:ser>
        <c:ser>
          <c:idx val="2"/>
          <c:order val="2"/>
          <c:tx>
            <c:strRef>
              <c:f>_ChartData!$D$10</c:f>
              <c:strCache>
                <c:ptCount val="1"/>
                <c:pt idx="0">
                  <c:v>Scenario C (net)</c:v>
                </c:pt>
              </c:strCache>
            </c:strRef>
          </c:tx>
          <c:spPr>
            <a:solidFill>
              <a:srgbClr val="00695C"/>
            </a:solidFill>
            <a:ln>
              <a:noFill/>
            </a:ln>
            <a:effectLst/>
          </c:spPr>
          <c:invertIfNegative val="0"/>
          <c:dLbls>
            <c:numFmt formatCode="[$$-409]#,##0;\([$$-409]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rgbClr val="1B2A4A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_ChartData!$A$11:$A$14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_ChartData!$D$11:$D$14</c:f>
              <c:numCache>
                <c:formatCode>General</c:formatCode>
                <c:ptCount val="4"/>
                <c:pt idx="0">
                  <c:v>7000</c:v>
                </c:pt>
                <c:pt idx="1">
                  <c:v>-18000</c:v>
                </c:pt>
                <c:pt idx="2">
                  <c:v>-18000</c:v>
                </c:pt>
                <c:pt idx="3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C9-4E7B-951E-E22C873D7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710175"/>
        <c:axId val="209710655"/>
      </c:barChart>
      <c:catAx>
        <c:axId val="20971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D0D5DE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4A5568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9710655"/>
        <c:crosses val="autoZero"/>
        <c:auto val="1"/>
        <c:lblAlgn val="ctr"/>
        <c:lblOffset val="100"/>
        <c:noMultiLvlLbl val="0"/>
      </c:catAx>
      <c:valAx>
        <c:axId val="20971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8E8E8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rgbClr val="4A5568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IN"/>
                  <a:t>USD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rgbClr val="4A5568"/>
                  </a:solidFill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[$$-409]#,##0;\([$$-409]#,##0\)" sourceLinked="0"/>
        <c:majorTickMark val="none"/>
        <c:minorTickMark val="none"/>
        <c:tickLblPos val="nextTo"/>
        <c:spPr>
          <a:noFill/>
          <a:ln>
            <a:solidFill>
              <a:srgbClr val="D0D5DE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4A5568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9710175"/>
        <c:crosses val="autoZero"/>
        <c:crossBetween val="between"/>
      </c:valAx>
      <c:spPr>
        <a:solidFill>
          <a:srgbClr val="F8F9FA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4A5568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solidFill>
        <a:srgbClr val="1B2A4A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85725</xdr:rowOff>
        </xdr:from>
        <xdr:to>
          <xdr:col>4</xdr:col>
          <xdr:colOff>371475</xdr:colOff>
          <xdr:row>20</xdr:row>
          <xdr:rowOff>342900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TO ACTUS ENGINE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53</xdr:row>
      <xdr:rowOff>60325</xdr:rowOff>
    </xdr:from>
    <xdr:to>
      <xdr:col>5</xdr:col>
      <xdr:colOff>571500</xdr:colOff>
      <xdr:row>77</xdr:row>
      <xdr:rowOff>60325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791F4FC-2ABF-3B4E-50B7-CEE03EB6D0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63500</xdr:colOff>
      <xdr:row>78</xdr:row>
      <xdr:rowOff>123825</xdr:rowOff>
    </xdr:from>
    <xdr:to>
      <xdr:col>5</xdr:col>
      <xdr:colOff>571500</xdr:colOff>
      <xdr:row>102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0D47860-10A7-00CA-9B1F-6A0485866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698500</xdr:colOff>
      <xdr:row>78</xdr:row>
      <xdr:rowOff>123825</xdr:rowOff>
    </xdr:from>
    <xdr:to>
      <xdr:col>10</xdr:col>
      <xdr:colOff>473075</xdr:colOff>
      <xdr:row>102</xdr:row>
      <xdr:rowOff>123825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224E383-81DE-71BD-CD56-EC7FF4E7FB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698500</xdr:colOff>
      <xdr:row>53</xdr:row>
      <xdr:rowOff>60325</xdr:rowOff>
    </xdr:from>
    <xdr:to>
      <xdr:col>10</xdr:col>
      <xdr:colOff>473075</xdr:colOff>
      <xdr:row>77</xdr:row>
      <xdr:rowOff>60325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09ED740-78AF-6A62-88BC-5FBB75EC59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FE43E94-E5BC-4989-B5B3-721A4A35BA3C}" autoFormatId="16" applyNumberFormats="0" applyBorderFormats="0" applyFontFormats="0" applyPatternFormats="0" applyAlignmentFormats="0" applyWidthHeightFormats="0">
  <queryTableRefresh nextId="8">
    <queryTableFields count="7">
      <queryTableField id="1" name="Scenario" tableColumnId="1"/>
      <queryTableField id="2" name="EventType" tableColumnId="2"/>
      <queryTableField id="3" name="EventDate" tableColumnId="3"/>
      <queryTableField id="4" name="Payoff" tableColumnId="4"/>
      <queryTableField id="5" name="Currency" tableColumnId="5"/>
      <queryTableField id="6" name="NominalValue" tableColumnId="6"/>
      <queryTableField id="7" name="NominalRat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F3D0452-EFE4-4CFA-8B59-0044D03DAFC7}" autoFormatId="16" applyNumberFormats="0" applyBorderFormats="0" applyFontFormats="0" applyPatternFormats="0" applyAlignmentFormats="0" applyWidthHeightFormats="0">
  <queryTableRefresh nextId="9">
    <queryTableFields count="8">
      <queryTableField id="1" name="Scenario" tableColumnId="1"/>
      <queryTableField id="2" name="ContractID" tableColumnId="2"/>
      <queryTableField id="3" name="EventType" tableColumnId="3"/>
      <queryTableField id="4" name="EventDate" tableColumnId="4"/>
      <queryTableField id="5" name="Payoff" tableColumnId="5"/>
      <queryTableField id="6" name="Currency" tableColumnId="6"/>
      <queryTableField id="7" name="NominalValue" tableColumnId="7"/>
      <queryTableField id="8" name="NominalR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B4CBF596-B170-41DF-9240-6C4522D5384D}" autoFormatId="16" applyNumberFormats="0" applyBorderFormats="0" applyFontFormats="0" applyPatternFormats="0" applyAlignmentFormats="0" applyWidthHeightFormats="0">
  <queryTableRefresh nextId="9">
    <queryTableFields count="8">
      <queryTableField id="1" name="Scenario" tableColumnId="1"/>
      <queryTableField id="2" name="ContractID" tableColumnId="2"/>
      <queryTableField id="3" name="EventType" tableColumnId="3"/>
      <queryTableField id="4" name="EventDate" tableColumnId="4"/>
      <queryTableField id="5" name="Payoff" tableColumnId="5"/>
      <queryTableField id="6" name="Currency" tableColumnId="6"/>
      <queryTableField id="7" name="NominalValue" tableColumnId="7"/>
      <queryTableField id="8" name="NominalRat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33FBD3B-CCE3-47AD-95A9-FDAE794496EB}" name="ACTUSInputs" displayName="ACTUSInputs" ref="H7:I17" totalsRowShown="0" tableBorderDxfId="4">
  <autoFilter ref="H7:I17" xr:uid="{D33FBD3B-CCE3-47AD-95A9-FDAE794496EB}">
    <filterColumn colId="0" hiddenButton="1"/>
    <filterColumn colId="1" hiddenButton="1"/>
  </autoFilter>
  <tableColumns count="2">
    <tableColumn id="1" xr3:uid="{8FCF2ED5-8E1A-4F7B-83EB-332D66D2216D}" name="Name" dataDxfId="3"/>
    <tableColumn id="2" xr3:uid="{FA444514-7522-4CFA-BD90-75A0DFF58F12}" name="Value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FCEBF6-8639-4056-8616-B7F15BC96F00}" name="Carbon_A" displayName="Carbon_A" ref="A7:G13" tableType="queryTable" totalsRowShown="0">
  <autoFilter ref="A7:G13" xr:uid="{FCFCEBF6-8639-4056-8616-B7F15BC96F00}"/>
  <tableColumns count="7">
    <tableColumn id="1" xr3:uid="{E68ABB98-A431-4F53-B353-306CC2FF9CDA}" uniqueName="1" name="Scenario" queryTableFieldId="1" dataDxfId="0"/>
    <tableColumn id="2" xr3:uid="{CF9F315B-3072-478C-9662-BDE31D1F1C57}" uniqueName="2" name="EventType" queryTableFieldId="2"/>
    <tableColumn id="3" xr3:uid="{BAD742A3-909B-4464-845F-826BD293107A}" uniqueName="3" name="EventDate" queryTableFieldId="3"/>
    <tableColumn id="4" xr3:uid="{CB44C7E2-7FA2-4AD5-98B1-7B29AD35919C}" uniqueName="4" name="Payoff" queryTableFieldId="4"/>
    <tableColumn id="5" xr3:uid="{5B820F16-6BCB-4469-A871-9284503BCC1B}" uniqueName="5" name="Currency" queryTableFieldId="5"/>
    <tableColumn id="6" xr3:uid="{87C26961-4645-471F-9193-E21E20821FCA}" uniqueName="6" name="NominalValue" queryTableFieldId="6"/>
    <tableColumn id="7" xr3:uid="{69E33239-4E54-4319-99DB-856F3A52ACD4}" uniqueName="7" name="NominalRate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21972F-DF9B-4D21-BE4D-9DF29A4EFDA5}" name="Carbon_B" displayName="Carbon_B" ref="A16:H38" tableType="queryTable" totalsRowShown="0">
  <autoFilter ref="A16:H38" xr:uid="{D521972F-DF9B-4D21-BE4D-9DF29A4EFDA5}"/>
  <tableColumns count="8">
    <tableColumn id="1" xr3:uid="{69C781C3-385B-43F0-A055-D46F78200073}" uniqueName="1" name="Scenario" queryTableFieldId="1" dataDxfId="1"/>
    <tableColumn id="2" xr3:uid="{7FFA109F-6001-4978-9395-129A00A559E2}" uniqueName="2" name="ContractID" queryTableFieldId="2"/>
    <tableColumn id="3" xr3:uid="{F88E2BBD-1B5C-493A-9214-94F35742D22E}" uniqueName="3" name="EventType" queryTableFieldId="3"/>
    <tableColumn id="4" xr3:uid="{8829729A-6BCE-40CC-81B4-9232894FF111}" uniqueName="4" name="EventDate" queryTableFieldId="4"/>
    <tableColumn id="5" xr3:uid="{D7E754C5-E2C1-40D1-BF26-4BB950B08B04}" uniqueName="5" name="Payoff" queryTableFieldId="5"/>
    <tableColumn id="6" xr3:uid="{C44E0F8F-4016-453F-9787-0A0D6F8A40D5}" uniqueName="6" name="Currency" queryTableFieldId="6"/>
    <tableColumn id="7" xr3:uid="{113D5AF4-42D8-4DD9-AAE4-6CBE5321889D}" uniqueName="7" name="NominalValue" queryTableFieldId="7"/>
    <tableColumn id="8" xr3:uid="{6E5A2B77-E645-45AD-B2FC-05FFB497548D}" uniqueName="8" name="NominalRate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2BD7C2A-8453-411F-8CC1-4247DA793A9B}" name="Carbon_C" displayName="Carbon_C" ref="A42:H70" tableType="queryTable" totalsRowShown="0">
  <autoFilter ref="A42:H70" xr:uid="{52BD7C2A-8453-411F-8CC1-4247DA793A9B}"/>
  <tableColumns count="8">
    <tableColumn id="1" xr3:uid="{A043D449-9CFD-49E2-BEE4-936E4D75DC85}" uniqueName="1" name="Scenario" queryTableFieldId="1" dataDxfId="2"/>
    <tableColumn id="2" xr3:uid="{ED8F6E9C-ACC7-4661-B319-4A7395D19464}" uniqueName="2" name="ContractID" queryTableFieldId="2"/>
    <tableColumn id="3" xr3:uid="{54B27E49-990E-42E5-971E-037243BE9D2C}" uniqueName="3" name="EventType" queryTableFieldId="3"/>
    <tableColumn id="4" xr3:uid="{DBA7396C-A617-4770-A9A1-88C81F6E186B}" uniqueName="4" name="EventDate" queryTableFieldId="4"/>
    <tableColumn id="5" xr3:uid="{4191B7D5-E5C6-4FE2-9D3B-D50D7808C543}" uniqueName="5" name="Payoff" queryTableFieldId="5"/>
    <tableColumn id="6" xr3:uid="{3D509FED-4841-4E51-96F9-84633E3C4E68}" uniqueName="6" name="Currency" queryTableFieldId="6"/>
    <tableColumn id="7" xr3:uid="{D62BF97F-5B8D-4270-8900-CE908E764156}" uniqueName="7" name="NominalValue" queryTableFieldId="7"/>
    <tableColumn id="8" xr3:uid="{C8598903-66BB-4798-97EF-CE2AE8B73299}" uniqueName="8" name="NominalRate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D667FF5-3ED4-434D-B394-FDEFEC36138B}">
  <we:reference id="wa200009404" version="1.0.0.8" store="en-US" storeType="OMEX"/>
  <we:alternateReferences>
    <we:reference id="WA200009404" version="1.0.0.8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6B3C"/>
  </sheetPr>
  <dimension ref="A1:M79"/>
  <sheetViews>
    <sheetView showGridLines="0" zoomScale="115" zoomScaleNormal="115" workbookViewId="0">
      <pane ySplit="7" topLeftCell="A8" activePane="bottomLeft" state="frozen"/>
      <selection pane="bottomLeft" activeCell="C16" sqref="C16"/>
    </sheetView>
  </sheetViews>
  <sheetFormatPr defaultColWidth="8.7109375" defaultRowHeight="15" x14ac:dyDescent="0.25"/>
  <cols>
    <col min="1" max="1" width="5.28515625" customWidth="1"/>
    <col min="2" max="2" width="37.28515625" customWidth="1"/>
    <col min="3" max="3" width="24" customWidth="1"/>
    <col min="4" max="4" width="16" customWidth="1"/>
    <col min="5" max="5" width="61.28515625" customWidth="1"/>
    <col min="6" max="6" width="9.5703125" customWidth="1"/>
    <col min="7" max="7" width="40" customWidth="1"/>
    <col min="8" max="8" width="15.42578125" customWidth="1"/>
    <col min="9" max="9" width="13.42578125" customWidth="1"/>
    <col min="10" max="10" width="17" customWidth="1"/>
    <col min="11" max="12" width="20.85546875" customWidth="1"/>
    <col min="14" max="14" width="21" customWidth="1"/>
    <col min="15" max="15" width="17.140625" customWidth="1"/>
  </cols>
  <sheetData>
    <row r="1" spans="1:9" ht="19.5" customHeight="1" x14ac:dyDescent="0.25">
      <c r="A1" s="136" t="s">
        <v>0</v>
      </c>
      <c r="B1" s="136"/>
      <c r="C1" s="136"/>
      <c r="D1" s="136"/>
      <c r="E1" s="136"/>
      <c r="F1" s="136"/>
      <c r="G1" s="136"/>
    </row>
    <row r="2" spans="1:9" ht="21.75" customHeight="1" x14ac:dyDescent="0.25">
      <c r="A2" s="137"/>
      <c r="B2" s="137"/>
      <c r="C2" s="137"/>
      <c r="D2" s="137"/>
      <c r="E2" s="137"/>
      <c r="F2" s="137"/>
      <c r="G2" s="137"/>
    </row>
    <row r="3" spans="1:9" ht="13.5" customHeight="1" x14ac:dyDescent="0.25">
      <c r="A3" s="137"/>
      <c r="B3" s="137"/>
      <c r="C3" s="137"/>
      <c r="D3" s="137"/>
      <c r="E3" s="137"/>
      <c r="F3" s="137"/>
      <c r="G3" s="137"/>
    </row>
    <row r="4" spans="1:9" ht="24.75" customHeight="1" x14ac:dyDescent="0.25">
      <c r="A4" s="143" t="s">
        <v>1</v>
      </c>
      <c r="B4" s="144"/>
      <c r="C4" s="144"/>
      <c r="D4" s="144"/>
      <c r="E4" s="144"/>
      <c r="F4" s="144"/>
      <c r="G4" s="144"/>
    </row>
    <row r="5" spans="1:9" ht="20.25" customHeight="1" x14ac:dyDescent="0.25">
      <c r="A5" s="78"/>
      <c r="B5" s="78"/>
      <c r="C5" s="78"/>
      <c r="D5" s="78"/>
      <c r="E5" s="78"/>
      <c r="F5" s="78"/>
      <c r="G5" s="78"/>
    </row>
    <row r="6" spans="1:9" ht="18.75" customHeight="1" x14ac:dyDescent="0.25">
      <c r="A6" s="1"/>
      <c r="B6" s="1"/>
      <c r="C6" s="1"/>
      <c r="D6" s="1"/>
      <c r="E6" s="1"/>
      <c r="F6" s="1"/>
      <c r="G6" s="1"/>
      <c r="H6" s="105" t="s">
        <v>249</v>
      </c>
    </row>
    <row r="7" spans="1:9" ht="18" customHeight="1" thickBot="1" x14ac:dyDescent="0.3">
      <c r="A7" s="79" t="s">
        <v>2</v>
      </c>
      <c r="B7" s="79" t="s">
        <v>3</v>
      </c>
      <c r="C7" s="79" t="s">
        <v>4</v>
      </c>
      <c r="D7" s="79" t="s">
        <v>5</v>
      </c>
      <c r="E7" s="80" t="s">
        <v>6</v>
      </c>
      <c r="F7" s="1"/>
      <c r="G7" s="1"/>
      <c r="H7" s="108" t="s">
        <v>10</v>
      </c>
      <c r="I7" s="109" t="s">
        <v>243</v>
      </c>
    </row>
    <row r="8" spans="1:9" ht="18" customHeight="1" x14ac:dyDescent="0.25">
      <c r="A8" s="145" t="s">
        <v>7</v>
      </c>
      <c r="B8" s="146"/>
      <c r="C8" s="146"/>
      <c r="D8" s="146"/>
      <c r="E8" s="146"/>
      <c r="F8" s="146"/>
      <c r="G8" s="147"/>
      <c r="H8" s="106" t="s">
        <v>244</v>
      </c>
      <c r="I8" s="111">
        <f t="shared" ref="I8:I17" si="0">C12</f>
        <v>10000</v>
      </c>
    </row>
    <row r="9" spans="1:9" ht="3.75" customHeight="1" x14ac:dyDescent="0.25">
      <c r="A9" s="81"/>
      <c r="B9" s="81"/>
      <c r="C9" s="81"/>
      <c r="D9" s="81"/>
      <c r="E9" s="81"/>
      <c r="F9" s="81"/>
      <c r="G9" s="81"/>
      <c r="H9" s="107" t="s">
        <v>245</v>
      </c>
      <c r="I9" s="112">
        <f t="shared" si="0"/>
        <v>55</v>
      </c>
    </row>
    <row r="10" spans="1:9" ht="19.5" customHeight="1" x14ac:dyDescent="0.25">
      <c r="A10" s="82">
        <v>1</v>
      </c>
      <c r="B10" s="83" t="s">
        <v>8</v>
      </c>
      <c r="C10" s="84" t="s">
        <v>9</v>
      </c>
      <c r="D10" s="85" t="s">
        <v>10</v>
      </c>
      <c r="E10" s="86" t="s">
        <v>11</v>
      </c>
      <c r="F10" s="1"/>
      <c r="G10" s="1"/>
      <c r="H10" s="107" t="s">
        <v>246</v>
      </c>
      <c r="I10" s="112">
        <f t="shared" si="0"/>
        <v>15</v>
      </c>
    </row>
    <row r="11" spans="1:9" ht="19.5" customHeight="1" x14ac:dyDescent="0.25">
      <c r="A11" s="87">
        <v>2</v>
      </c>
      <c r="B11" s="88" t="s">
        <v>12</v>
      </c>
      <c r="C11" s="89" t="s">
        <v>13</v>
      </c>
      <c r="D11" s="90" t="s">
        <v>14</v>
      </c>
      <c r="E11" s="91" t="s">
        <v>15</v>
      </c>
      <c r="F11" s="92"/>
      <c r="G11" s="92"/>
      <c r="H11" s="107" t="s">
        <v>247</v>
      </c>
      <c r="I11" s="112">
        <f t="shared" si="0"/>
        <v>35</v>
      </c>
    </row>
    <row r="12" spans="1:9" ht="19.5" customHeight="1" x14ac:dyDescent="0.25">
      <c r="A12" s="3">
        <v>3</v>
      </c>
      <c r="B12" s="4" t="s">
        <v>16</v>
      </c>
      <c r="C12" s="11">
        <v>10000</v>
      </c>
      <c r="D12" s="5" t="s">
        <v>17</v>
      </c>
      <c r="E12" s="6" t="s">
        <v>18</v>
      </c>
      <c r="F12" s="1"/>
      <c r="G12" s="1"/>
      <c r="H12" s="107" t="s">
        <v>238</v>
      </c>
      <c r="I12" s="113">
        <f t="shared" si="0"/>
        <v>100000</v>
      </c>
    </row>
    <row r="13" spans="1:9" ht="19.5" customHeight="1" x14ac:dyDescent="0.25">
      <c r="A13" s="7">
        <v>4</v>
      </c>
      <c r="B13" s="8" t="s">
        <v>19</v>
      </c>
      <c r="C13" s="12">
        <v>55</v>
      </c>
      <c r="D13" s="9" t="s">
        <v>20</v>
      </c>
      <c r="E13" s="10" t="s">
        <v>21</v>
      </c>
      <c r="F13" s="1"/>
      <c r="G13" s="1"/>
      <c r="H13" s="107" t="s">
        <v>239</v>
      </c>
      <c r="I13" s="114">
        <f t="shared" si="0"/>
        <v>46023</v>
      </c>
    </row>
    <row r="14" spans="1:9" ht="19.5" customHeight="1" x14ac:dyDescent="0.25">
      <c r="A14" s="3">
        <v>5</v>
      </c>
      <c r="B14" s="4" t="s">
        <v>22</v>
      </c>
      <c r="C14" s="12">
        <v>15</v>
      </c>
      <c r="D14" s="5" t="s">
        <v>20</v>
      </c>
      <c r="E14" s="6" t="s">
        <v>23</v>
      </c>
      <c r="F14" s="1"/>
      <c r="G14" s="1"/>
      <c r="H14" s="107" t="s">
        <v>248</v>
      </c>
      <c r="I14" s="114">
        <f t="shared" si="0"/>
        <v>46388</v>
      </c>
    </row>
    <row r="15" spans="1:9" ht="19.5" customHeight="1" x14ac:dyDescent="0.25">
      <c r="A15" s="7">
        <v>6</v>
      </c>
      <c r="B15" s="8" t="s">
        <v>24</v>
      </c>
      <c r="C15" s="12">
        <v>35</v>
      </c>
      <c r="D15" s="9" t="s">
        <v>20</v>
      </c>
      <c r="E15" s="10" t="s">
        <v>25</v>
      </c>
      <c r="F15" s="1"/>
      <c r="G15" s="1"/>
      <c r="H15" s="107" t="s">
        <v>240</v>
      </c>
      <c r="I15" s="112">
        <f t="shared" si="0"/>
        <v>38</v>
      </c>
    </row>
    <row r="16" spans="1:9" ht="19.5" customHeight="1" x14ac:dyDescent="0.25">
      <c r="A16" s="3">
        <v>7</v>
      </c>
      <c r="B16" s="4" t="s">
        <v>26</v>
      </c>
      <c r="C16" s="13">
        <v>100000</v>
      </c>
      <c r="D16" s="5" t="s">
        <v>27</v>
      </c>
      <c r="E16" s="6" t="s">
        <v>28</v>
      </c>
      <c r="F16" s="1"/>
      <c r="G16" s="1"/>
      <c r="H16" s="107" t="s">
        <v>241</v>
      </c>
      <c r="I16" s="115">
        <f t="shared" si="0"/>
        <v>0.02</v>
      </c>
    </row>
    <row r="17" spans="1:13" ht="19.5" customHeight="1" x14ac:dyDescent="0.25">
      <c r="A17" s="7">
        <v>8</v>
      </c>
      <c r="B17" s="8" t="s">
        <v>29</v>
      </c>
      <c r="C17" s="14">
        <v>46023</v>
      </c>
      <c r="D17" s="9" t="s">
        <v>30</v>
      </c>
      <c r="E17" s="10" t="s">
        <v>31</v>
      </c>
      <c r="F17" s="1"/>
      <c r="G17" s="1"/>
      <c r="H17" s="110" t="s">
        <v>242</v>
      </c>
      <c r="I17" s="116">
        <f t="shared" si="0"/>
        <v>0.09</v>
      </c>
    </row>
    <row r="18" spans="1:13" ht="19.5" customHeight="1" x14ac:dyDescent="0.25">
      <c r="A18" s="3">
        <v>9</v>
      </c>
      <c r="B18" s="4" t="s">
        <v>32</v>
      </c>
      <c r="C18" s="14">
        <v>46388</v>
      </c>
      <c r="D18" s="5" t="s">
        <v>30</v>
      </c>
      <c r="E18" s="6" t="s">
        <v>33</v>
      </c>
      <c r="F18" s="1"/>
      <c r="G18" s="1"/>
    </row>
    <row r="19" spans="1:13" ht="19.5" customHeight="1" x14ac:dyDescent="0.25">
      <c r="A19" s="7">
        <v>10</v>
      </c>
      <c r="B19" s="8" t="s">
        <v>34</v>
      </c>
      <c r="C19" s="15">
        <v>38</v>
      </c>
      <c r="D19" s="9" t="s">
        <v>20</v>
      </c>
      <c r="E19" s="10" t="s">
        <v>35</v>
      </c>
      <c r="F19" s="1"/>
      <c r="G19" s="1"/>
    </row>
    <row r="20" spans="1:13" ht="19.5" customHeight="1" x14ac:dyDescent="0.25">
      <c r="A20" s="3">
        <v>11</v>
      </c>
      <c r="B20" s="4" t="s">
        <v>36</v>
      </c>
      <c r="C20" s="16">
        <v>0.02</v>
      </c>
      <c r="D20" s="5" t="s">
        <v>37</v>
      </c>
      <c r="E20" s="6" t="s">
        <v>38</v>
      </c>
      <c r="F20" s="1"/>
      <c r="G20" s="1"/>
    </row>
    <row r="21" spans="1:13" ht="19.5" customHeight="1" x14ac:dyDescent="0.25">
      <c r="A21" s="7">
        <v>12</v>
      </c>
      <c r="B21" s="8" t="s">
        <v>39</v>
      </c>
      <c r="C21" s="16">
        <v>0.09</v>
      </c>
      <c r="D21" s="9" t="s">
        <v>37</v>
      </c>
      <c r="E21" s="10" t="s">
        <v>40</v>
      </c>
      <c r="F21" s="1"/>
      <c r="G21" s="1"/>
    </row>
    <row r="22" spans="1:13" ht="15" customHeight="1" x14ac:dyDescent="0.25">
      <c r="A22" s="1"/>
      <c r="B22" s="1"/>
      <c r="C22" s="1"/>
      <c r="D22" s="1"/>
      <c r="E22" s="1"/>
      <c r="F22" s="1"/>
      <c r="G22" s="1"/>
    </row>
    <row r="23" spans="1:13" ht="7.5" customHeight="1" x14ac:dyDescent="0.25">
      <c r="A23" s="1"/>
      <c r="B23" s="1"/>
      <c r="C23" s="1"/>
      <c r="D23" s="1"/>
      <c r="E23" s="1"/>
      <c r="F23" s="1"/>
      <c r="G23" s="1"/>
    </row>
    <row r="24" spans="1:13" ht="18" customHeight="1" x14ac:dyDescent="0.25">
      <c r="A24" s="140" t="s">
        <v>41</v>
      </c>
      <c r="B24" s="141"/>
      <c r="C24" s="141"/>
      <c r="D24" s="141"/>
      <c r="E24" s="141"/>
      <c r="F24" s="141"/>
      <c r="G24" s="142"/>
    </row>
    <row r="25" spans="1:13" ht="3.75" customHeight="1" x14ac:dyDescent="0.25">
      <c r="A25" s="81"/>
      <c r="B25" s="1"/>
      <c r="C25" s="1"/>
      <c r="D25" s="1"/>
      <c r="E25" s="1"/>
      <c r="F25" s="1"/>
      <c r="G25" s="1"/>
    </row>
    <row r="26" spans="1:13" ht="19.5" customHeight="1" x14ac:dyDescent="0.25">
      <c r="A26" s="1"/>
      <c r="B26" s="83" t="s">
        <v>42</v>
      </c>
      <c r="C26" s="94">
        <f>C12*C13</f>
        <v>550000</v>
      </c>
      <c r="D26" s="85" t="s">
        <v>43</v>
      </c>
      <c r="E26" s="86" t="s">
        <v>44</v>
      </c>
      <c r="F26" s="1"/>
      <c r="G26" s="1"/>
    </row>
    <row r="27" spans="1:13" ht="19.5" customHeight="1" x14ac:dyDescent="0.25">
      <c r="A27" s="1"/>
      <c r="B27" s="95" t="s">
        <v>45</v>
      </c>
      <c r="C27" s="96">
        <f>C12*C14</f>
        <v>150000</v>
      </c>
      <c r="D27" s="97" t="s">
        <v>43</v>
      </c>
      <c r="E27" s="98" t="s">
        <v>46</v>
      </c>
      <c r="F27" s="1"/>
      <c r="G27" s="1"/>
    </row>
    <row r="28" spans="1:13" ht="19.5" customHeight="1" x14ac:dyDescent="0.25">
      <c r="A28" s="1"/>
      <c r="B28" s="83" t="s">
        <v>47</v>
      </c>
      <c r="C28" s="99">
        <f>C16/C12/C13</f>
        <v>0.18181818181818182</v>
      </c>
      <c r="D28" s="85" t="s">
        <v>48</v>
      </c>
      <c r="E28" s="86" t="s">
        <v>49</v>
      </c>
      <c r="F28" s="1"/>
      <c r="G28" s="1"/>
    </row>
    <row r="29" spans="1:13" ht="19.5" customHeight="1" x14ac:dyDescent="0.25">
      <c r="A29" s="1"/>
      <c r="B29" s="95" t="s">
        <v>50</v>
      </c>
      <c r="C29" s="100">
        <f>C16/C12/C14</f>
        <v>0.66666666666666663</v>
      </c>
      <c r="D29" s="97" t="s">
        <v>48</v>
      </c>
      <c r="E29" s="98" t="s">
        <v>51</v>
      </c>
      <c r="F29" s="1"/>
      <c r="G29" s="1"/>
    </row>
    <row r="30" spans="1:13" ht="19.5" customHeight="1" x14ac:dyDescent="0.25">
      <c r="A30" s="1"/>
      <c r="B30" s="95" t="s">
        <v>52</v>
      </c>
      <c r="C30" s="96">
        <f>C16/C12</f>
        <v>10</v>
      </c>
      <c r="D30" s="97" t="s">
        <v>20</v>
      </c>
      <c r="E30" s="98" t="s">
        <v>53</v>
      </c>
      <c r="F30" s="1"/>
      <c r="G30" s="1"/>
    </row>
    <row r="31" spans="1:13" ht="19.5" customHeight="1" x14ac:dyDescent="0.25">
      <c r="A31" s="1"/>
      <c r="B31" s="101" t="s">
        <v>54</v>
      </c>
      <c r="C31" s="94">
        <f>(C19-C14)*C12</f>
        <v>230000</v>
      </c>
      <c r="D31" s="102" t="s">
        <v>43</v>
      </c>
      <c r="E31" s="103" t="s">
        <v>55</v>
      </c>
      <c r="F31" s="1"/>
      <c r="G31" s="1"/>
      <c r="J31" s="1"/>
      <c r="K31" s="1"/>
      <c r="L31" s="1"/>
      <c r="M31" s="1"/>
    </row>
    <row r="32" spans="1:13" ht="19.5" customHeight="1" x14ac:dyDescent="0.25">
      <c r="A32" s="1"/>
      <c r="B32" s="83" t="s">
        <v>56</v>
      </c>
      <c r="C32" s="94">
        <f>C20*C12*C13</f>
        <v>11000</v>
      </c>
      <c r="D32" s="85" t="s">
        <v>43</v>
      </c>
      <c r="E32" s="86" t="s">
        <v>57</v>
      </c>
      <c r="F32" s="1"/>
      <c r="G32" s="1"/>
      <c r="J32" s="1"/>
      <c r="K32" s="1"/>
      <c r="L32" s="1"/>
      <c r="M32" s="1"/>
    </row>
    <row r="33" spans="1:13" ht="19.5" customHeight="1" x14ac:dyDescent="0.25">
      <c r="A33" s="1"/>
      <c r="B33" s="101" t="s">
        <v>58</v>
      </c>
      <c r="C33" s="94">
        <f>C16*C21</f>
        <v>9000</v>
      </c>
      <c r="D33" s="102" t="s">
        <v>43</v>
      </c>
      <c r="E33" s="103" t="s">
        <v>59</v>
      </c>
      <c r="F33" s="1"/>
      <c r="G33" s="1"/>
      <c r="J33" s="1"/>
      <c r="K33" s="1"/>
      <c r="L33" s="1"/>
      <c r="M33" s="1"/>
    </row>
    <row r="34" spans="1:13" ht="15" customHeight="1" x14ac:dyDescent="0.25">
      <c r="A34" s="92"/>
      <c r="B34" s="92"/>
      <c r="C34" s="104"/>
      <c r="D34" s="92"/>
      <c r="E34" s="92"/>
      <c r="F34" s="92"/>
      <c r="G34" s="92"/>
      <c r="J34" s="92"/>
      <c r="K34" s="92"/>
      <c r="L34" s="92"/>
      <c r="M34" s="1"/>
    </row>
    <row r="35" spans="1:13" ht="7.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ht="18" customHeight="1" x14ac:dyDescent="0.25">
      <c r="A36" s="148" t="s">
        <v>60</v>
      </c>
      <c r="B36" s="149"/>
      <c r="C36" s="149"/>
      <c r="D36" s="149"/>
      <c r="E36" s="149"/>
      <c r="F36" s="149"/>
      <c r="G36" s="149"/>
      <c r="H36" s="149"/>
      <c r="I36" s="149"/>
      <c r="J36" s="149"/>
      <c r="K36" s="149"/>
      <c r="L36" s="149"/>
      <c r="M36" s="1"/>
    </row>
    <row r="37" spans="1:13" ht="3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ht="15.75" customHeight="1" x14ac:dyDescent="0.25">
      <c r="A38" s="2" t="s">
        <v>61</v>
      </c>
      <c r="B38" s="2" t="s">
        <v>62</v>
      </c>
      <c r="C38" s="2" t="s">
        <v>63</v>
      </c>
      <c r="D38" s="2" t="s">
        <v>64</v>
      </c>
      <c r="E38" s="2" t="s">
        <v>65</v>
      </c>
      <c r="F38" s="2" t="s">
        <v>66</v>
      </c>
      <c r="G38" s="2" t="s">
        <v>67</v>
      </c>
      <c r="H38" s="1"/>
      <c r="I38" s="1"/>
      <c r="J38" s="1"/>
      <c r="K38" s="1"/>
      <c r="L38" s="1"/>
      <c r="M38" s="1"/>
    </row>
    <row r="39" spans="1:13" ht="19.5" customHeight="1" x14ac:dyDescent="0.25">
      <c r="A39" s="17" t="s">
        <v>68</v>
      </c>
      <c r="B39" s="17" t="s">
        <v>69</v>
      </c>
      <c r="C39" s="18">
        <v>42</v>
      </c>
      <c r="D39" s="19">
        <v>1</v>
      </c>
      <c r="E39" s="20">
        <v>420000</v>
      </c>
      <c r="F39" s="21">
        <v>0.66700000000000004</v>
      </c>
      <c r="G39" s="22" t="s">
        <v>70</v>
      </c>
      <c r="H39" s="1"/>
      <c r="I39" s="1"/>
      <c r="J39" s="1"/>
      <c r="K39" s="1"/>
      <c r="L39" s="1"/>
      <c r="M39" s="1"/>
    </row>
    <row r="40" spans="1:13" ht="19.5" customHeight="1" x14ac:dyDescent="0.25">
      <c r="A40" s="23" t="s">
        <v>71</v>
      </c>
      <c r="B40" s="23" t="s">
        <v>72</v>
      </c>
      <c r="C40" s="24">
        <v>42</v>
      </c>
      <c r="D40" s="25">
        <v>1</v>
      </c>
      <c r="E40" s="26">
        <v>420000</v>
      </c>
      <c r="F40" s="27">
        <v>0.66700000000000004</v>
      </c>
      <c r="G40" s="28" t="s">
        <v>73</v>
      </c>
      <c r="H40" s="1"/>
      <c r="I40" s="1"/>
      <c r="J40" s="1"/>
      <c r="K40" s="1"/>
      <c r="L40" s="1"/>
      <c r="M40" s="1"/>
    </row>
    <row r="41" spans="1:13" ht="19.5" customHeight="1" x14ac:dyDescent="0.25">
      <c r="A41" s="29" t="s">
        <v>74</v>
      </c>
      <c r="B41" s="29" t="s">
        <v>75</v>
      </c>
      <c r="C41" s="30">
        <v>28</v>
      </c>
      <c r="D41" s="31">
        <v>0.66669999999999996</v>
      </c>
      <c r="E41" s="32">
        <v>280000</v>
      </c>
      <c r="F41" s="33">
        <v>1</v>
      </c>
      <c r="G41" s="34" t="s">
        <v>76</v>
      </c>
      <c r="H41" s="1"/>
      <c r="I41" s="1"/>
      <c r="J41" s="1"/>
      <c r="K41" s="1"/>
      <c r="L41" s="1"/>
      <c r="M41" s="1"/>
    </row>
    <row r="42" spans="1:13" ht="19.5" customHeight="1" x14ac:dyDescent="0.25">
      <c r="A42" s="29" t="s">
        <v>77</v>
      </c>
      <c r="B42" s="29" t="s">
        <v>78</v>
      </c>
      <c r="C42" s="30">
        <v>28</v>
      </c>
      <c r="D42" s="31">
        <v>0.66669999999999996</v>
      </c>
      <c r="E42" s="32">
        <v>280000</v>
      </c>
      <c r="F42" s="33">
        <v>1</v>
      </c>
      <c r="G42" s="34" t="s">
        <v>76</v>
      </c>
      <c r="H42" s="1"/>
      <c r="I42" s="1"/>
      <c r="J42" s="1"/>
      <c r="K42" s="1"/>
      <c r="L42" s="1"/>
      <c r="M42" s="1"/>
    </row>
    <row r="43" spans="1:13" ht="19.5" customHeight="1" x14ac:dyDescent="0.25">
      <c r="A43" s="23" t="s">
        <v>79</v>
      </c>
      <c r="B43" s="23" t="s">
        <v>80</v>
      </c>
      <c r="C43" s="24">
        <v>35</v>
      </c>
      <c r="D43" s="25">
        <v>0.83330000000000004</v>
      </c>
      <c r="E43" s="26">
        <v>350000</v>
      </c>
      <c r="F43" s="27">
        <v>0.8</v>
      </c>
      <c r="G43" s="28" t="s">
        <v>81</v>
      </c>
      <c r="H43" s="1"/>
      <c r="I43" s="1"/>
      <c r="J43" s="1"/>
      <c r="K43" s="1"/>
      <c r="L43" s="1"/>
      <c r="M43" s="1"/>
    </row>
    <row r="44" spans="1:13" ht="1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ht="7.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ht="18" customHeight="1" x14ac:dyDescent="0.25">
      <c r="A46" s="148" t="s">
        <v>82</v>
      </c>
      <c r="B46" s="149"/>
      <c r="C46" s="149"/>
      <c r="D46" s="149"/>
      <c r="E46" s="149"/>
      <c r="F46" s="149"/>
      <c r="G46" s="149"/>
      <c r="H46" s="149"/>
      <c r="I46" s="149"/>
      <c r="J46" s="149"/>
      <c r="K46" s="149"/>
      <c r="L46" s="149"/>
      <c r="M46" s="1"/>
    </row>
    <row r="47" spans="1:13" ht="3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ht="6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ht="25.5" customHeight="1" x14ac:dyDescent="0.25">
      <c r="A49" s="150" t="s">
        <v>83</v>
      </c>
      <c r="B49" s="150"/>
      <c r="C49" s="35" t="s">
        <v>84</v>
      </c>
      <c r="D49" s="151" t="s">
        <v>85</v>
      </c>
      <c r="E49" s="151"/>
      <c r="F49" s="151"/>
      <c r="G49" s="151"/>
      <c r="H49" s="151"/>
      <c r="I49" s="151"/>
      <c r="J49" s="151"/>
      <c r="K49" s="1"/>
      <c r="L49" s="1"/>
      <c r="M49" s="1"/>
    </row>
    <row r="50" spans="1:13" ht="13.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  <row r="51" spans="1:13" ht="6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</row>
    <row r="52" spans="1:13" ht="25.5" customHeight="1" x14ac:dyDescent="0.25">
      <c r="A52" s="152" t="s">
        <v>86</v>
      </c>
      <c r="B52" s="152"/>
      <c r="C52" s="36" t="s">
        <v>87</v>
      </c>
      <c r="D52" s="153" t="s">
        <v>88</v>
      </c>
      <c r="E52" s="153"/>
      <c r="F52" s="153"/>
      <c r="G52" s="153"/>
      <c r="H52" s="153"/>
      <c r="I52" s="153"/>
      <c r="J52" s="153"/>
      <c r="K52" s="1"/>
      <c r="L52" s="1"/>
      <c r="M52" s="1"/>
    </row>
    <row r="53" spans="1:13" ht="13.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</row>
    <row r="54" spans="1:13" ht="6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</row>
    <row r="55" spans="1:13" ht="25.5" customHeight="1" x14ac:dyDescent="0.25">
      <c r="A55" s="138" t="s">
        <v>89</v>
      </c>
      <c r="B55" s="138"/>
      <c r="C55" s="37" t="s">
        <v>90</v>
      </c>
      <c r="D55" s="139" t="s">
        <v>91</v>
      </c>
      <c r="E55" s="139"/>
      <c r="F55" s="139"/>
      <c r="G55" s="139"/>
      <c r="H55" s="139"/>
      <c r="I55" s="139"/>
      <c r="J55" s="139"/>
      <c r="K55" s="1"/>
      <c r="L55" s="1"/>
      <c r="M55" s="1"/>
    </row>
    <row r="56" spans="1:13" ht="13.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ht="1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ht="1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ht="1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ht="1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ht="1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ht="1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ht="1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ht="1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ht="1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ht="1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ht="1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ht="1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ht="1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ht="1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ht="1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ht="1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ht="1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  <row r="74" spans="1:13" ht="1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</row>
    <row r="75" spans="1:13" ht="1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</row>
    <row r="76" spans="1:13" ht="1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</row>
    <row r="77" spans="1:13" ht="1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1:13" ht="1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</row>
    <row r="79" spans="1:13" ht="1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</row>
  </sheetData>
  <mergeCells count="12">
    <mergeCell ref="A1:G3"/>
    <mergeCell ref="A55:B55"/>
    <mergeCell ref="D55:J55"/>
    <mergeCell ref="A24:G24"/>
    <mergeCell ref="A4:G4"/>
    <mergeCell ref="A8:G8"/>
    <mergeCell ref="A36:L36"/>
    <mergeCell ref="A46:L46"/>
    <mergeCell ref="A49:B49"/>
    <mergeCell ref="D49:J49"/>
    <mergeCell ref="A52:B52"/>
    <mergeCell ref="D52:J52"/>
  </mergeCell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D8A52"/>
  </sheetPr>
  <dimension ref="A1:O49"/>
  <sheetViews>
    <sheetView showGridLines="0" zoomScaleNormal="100" workbookViewId="0">
      <pane ySplit="5" topLeftCell="A6" activePane="bottomLeft" state="frozen"/>
      <selection pane="bottomLeft" activeCell="B22" sqref="B22"/>
    </sheetView>
  </sheetViews>
  <sheetFormatPr defaultColWidth="8.7109375" defaultRowHeight="15" x14ac:dyDescent="0.25"/>
  <cols>
    <col min="1" max="1" width="5" customWidth="1"/>
    <col min="2" max="2" width="24" customWidth="1"/>
    <col min="3" max="3" width="8" customWidth="1"/>
    <col min="4" max="4" width="6" customWidth="1"/>
    <col min="5" max="8" width="14" customWidth="1"/>
    <col min="9" max="9" width="10" customWidth="1"/>
    <col min="10" max="10" width="22" customWidth="1"/>
    <col min="11" max="11" width="58.7109375" customWidth="1"/>
  </cols>
  <sheetData>
    <row r="1" spans="1:15" ht="19.5" customHeight="1" x14ac:dyDescent="0.25">
      <c r="A1" s="131" t="s">
        <v>92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"/>
    </row>
    <row r="2" spans="1:15" ht="19.5" customHeight="1" x14ac:dyDescent="0.25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"/>
    </row>
    <row r="3" spans="1:15" ht="21.75" customHeight="1" x14ac:dyDescent="0.25">
      <c r="A3" s="132" t="s">
        <v>93</v>
      </c>
      <c r="B3" s="132"/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"/>
    </row>
    <row r="4" spans="1:15" ht="3" customHeight="1" x14ac:dyDescent="0.25">
      <c r="A4" s="133"/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"/>
    </row>
    <row r="5" spans="1:15" ht="15.75" customHeight="1" x14ac:dyDescent="0.25">
      <c r="A5" s="2" t="s">
        <v>94</v>
      </c>
      <c r="B5" s="2" t="s">
        <v>95</v>
      </c>
      <c r="C5" s="2" t="s">
        <v>96</v>
      </c>
      <c r="D5" s="2" t="s">
        <v>97</v>
      </c>
      <c r="E5" s="2" t="s">
        <v>98</v>
      </c>
      <c r="F5" s="2" t="s">
        <v>99</v>
      </c>
      <c r="G5" s="2" t="s">
        <v>100</v>
      </c>
      <c r="H5" s="2" t="s">
        <v>101</v>
      </c>
      <c r="I5" s="2" t="s">
        <v>102</v>
      </c>
      <c r="J5" s="2" t="s">
        <v>103</v>
      </c>
      <c r="K5" s="2" t="s">
        <v>104</v>
      </c>
      <c r="L5" s="1"/>
      <c r="M5" s="1"/>
      <c r="N5" s="1"/>
      <c r="O5" s="1"/>
    </row>
    <row r="6" spans="1:15" ht="21.75" customHeight="1" x14ac:dyDescent="0.25">
      <c r="A6" s="134" t="s">
        <v>105</v>
      </c>
      <c r="B6" s="134"/>
      <c r="C6" s="134"/>
      <c r="D6" s="134"/>
      <c r="E6" s="134"/>
      <c r="F6" s="134"/>
      <c r="G6" s="134"/>
      <c r="H6" s="134"/>
      <c r="I6" s="134"/>
      <c r="J6" s="134"/>
      <c r="K6" s="134"/>
      <c r="L6" s="1"/>
      <c r="M6" s="1"/>
      <c r="N6" s="1"/>
      <c r="O6" s="1"/>
    </row>
    <row r="7" spans="1:15" ht="19.5" customHeight="1" x14ac:dyDescent="0.25">
      <c r="A7" s="38" t="s">
        <v>106</v>
      </c>
      <c r="B7" s="39" t="s">
        <v>107</v>
      </c>
      <c r="C7" s="38" t="s">
        <v>108</v>
      </c>
      <c r="D7" s="38" t="s">
        <v>109</v>
      </c>
      <c r="E7" s="38" t="str">
        <f>TEXT('⚡ Inputs'!C17-1,"yyyy-mm-dd")</f>
        <v>2025-12-31</v>
      </c>
      <c r="F7" s="38" t="str">
        <f>TEXT('⚡ Inputs'!C17,"yyyy-mm-dd")</f>
        <v>2026-01-01</v>
      </c>
      <c r="G7" s="38" t="str">
        <f>TEXT('⚡ Inputs'!C18,"yyyy-mm-dd")</f>
        <v>2027-01-01</v>
      </c>
      <c r="H7" s="40">
        <f>'⚡ Inputs'!C16</f>
        <v>100000</v>
      </c>
      <c r="I7" s="41">
        <f>'⚡ Inputs'!C21</f>
        <v>0.09</v>
      </c>
      <c r="J7" s="38" t="s">
        <v>110</v>
      </c>
      <c r="K7" s="42" t="str">
        <f>"USD "&amp;TEXT('⚡ Inputs'!C16/1000,"#,##0")&amp;"k loan — NO hedge — full exposure to carbon price fall"</f>
        <v>USD 100k loan — NO hedge — full exposure to carbon price fall</v>
      </c>
      <c r="L7" s="1"/>
      <c r="M7" s="1"/>
      <c r="N7" s="1"/>
      <c r="O7" s="1"/>
    </row>
    <row r="8" spans="1:15" ht="6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</row>
    <row r="9" spans="1:15" ht="21.75" customHeight="1" x14ac:dyDescent="0.25">
      <c r="A9" s="135" t="s">
        <v>111</v>
      </c>
      <c r="B9" s="135"/>
      <c r="C9" s="135"/>
      <c r="D9" s="135"/>
      <c r="E9" s="135"/>
      <c r="F9" s="135"/>
      <c r="G9" s="135"/>
      <c r="H9" s="135"/>
      <c r="I9" s="135"/>
      <c r="J9" s="135"/>
      <c r="K9" s="135"/>
      <c r="L9" s="1"/>
      <c r="M9" s="1"/>
      <c r="N9" s="1"/>
      <c r="O9" s="1"/>
    </row>
    <row r="10" spans="1:15" ht="19.5" customHeight="1" x14ac:dyDescent="0.25">
      <c r="A10" s="43" t="s">
        <v>112</v>
      </c>
      <c r="B10" s="44" t="s">
        <v>113</v>
      </c>
      <c r="C10" s="43" t="s">
        <v>108</v>
      </c>
      <c r="D10" s="43" t="s">
        <v>109</v>
      </c>
      <c r="E10" s="43" t="str">
        <f>TEXT('⚡ Inputs'!C17-1,"yyyy-mm-dd")</f>
        <v>2025-12-31</v>
      </c>
      <c r="F10" s="43" t="str">
        <f>TEXT('⚡ Inputs'!C17,"yyyy-mm-dd")</f>
        <v>2026-01-01</v>
      </c>
      <c r="G10" s="43" t="str">
        <f>TEXT('⚡ Inputs'!C18,"yyyy-mm-dd")</f>
        <v>2027-01-01</v>
      </c>
      <c r="H10" s="45">
        <f>'⚡ Inputs'!C16</f>
        <v>100000</v>
      </c>
      <c r="I10" s="46">
        <f>'⚡ Inputs'!C21</f>
        <v>0.09</v>
      </c>
      <c r="J10" s="43" t="s">
        <v>110</v>
      </c>
      <c r="K10" s="47" t="s">
        <v>114</v>
      </c>
      <c r="L10" s="1"/>
      <c r="M10" s="1"/>
      <c r="N10" s="1"/>
      <c r="O10" s="1"/>
    </row>
    <row r="11" spans="1:15" ht="19.5" customHeight="1" x14ac:dyDescent="0.25">
      <c r="A11" s="38" t="s">
        <v>112</v>
      </c>
      <c r="B11" s="44" t="s">
        <v>115</v>
      </c>
      <c r="C11" s="38" t="s">
        <v>116</v>
      </c>
      <c r="D11" s="38" t="s">
        <v>117</v>
      </c>
      <c r="E11" s="38" t="str">
        <f>TEXT('⚡ Inputs'!C17-1,"yyyy-mm-dd")</f>
        <v>2025-12-31</v>
      </c>
      <c r="F11" s="38" t="str">
        <f>TEXT('⚡ Inputs'!C17,"yyyy-mm-dd")</f>
        <v>2026-01-01</v>
      </c>
      <c r="G11" s="38" t="str">
        <f>TEXT('⚡ Inputs'!C18,"yyyy-mm-dd")</f>
        <v>2027-01-01</v>
      </c>
      <c r="H11" s="40">
        <f>'⚡ Inputs'!C19*'⚡ Inputs'!C12</f>
        <v>380000</v>
      </c>
      <c r="I11" s="38" t="s">
        <v>118</v>
      </c>
      <c r="J11" s="38" t="s">
        <v>118</v>
      </c>
      <c r="K11" s="42" t="s">
        <v>119</v>
      </c>
      <c r="L11" s="1"/>
      <c r="M11" s="1"/>
      <c r="N11" s="1"/>
      <c r="O11" s="1"/>
    </row>
    <row r="12" spans="1:15" ht="19.5" customHeight="1" x14ac:dyDescent="0.25">
      <c r="A12" s="43" t="s">
        <v>112</v>
      </c>
      <c r="B12" s="44" t="s">
        <v>120</v>
      </c>
      <c r="C12" s="43" t="s">
        <v>108</v>
      </c>
      <c r="D12" s="43" t="s">
        <v>121</v>
      </c>
      <c r="E12" s="43" t="str">
        <f>TEXT('⚡ Inputs'!C17-1,"yyyy-mm-dd")</f>
        <v>2025-12-31</v>
      </c>
      <c r="F12" s="43" t="str">
        <f>TEXT('⚡ Inputs'!C17,"yyyy-mm-dd")</f>
        <v>2026-01-01</v>
      </c>
      <c r="G12" s="43" t="str">
        <f>TEXT('⚡ Inputs'!C18,"yyyy-mm-dd")</f>
        <v>2027-01-01</v>
      </c>
      <c r="H12" s="45">
        <f>'⚡ Inputs'!C19*'⚡ Inputs'!C12</f>
        <v>380000</v>
      </c>
      <c r="I12" s="46">
        <f>ROUND('⚡ Inputs'!C19/'⚡ Inputs'!C13,4)</f>
        <v>0.69089999999999996</v>
      </c>
      <c r="J12" s="43" t="s">
        <v>118</v>
      </c>
      <c r="K12" s="47" t="str">
        <f>"Fixed leg: John pays $"&amp;'⚡ Inputs'!C19&amp;"/credit (rate="&amp;TEXT(ROUND('⚡ Inputs'!C19/'⚡ Inputs'!C13,4),"0.0000")&amp;")"</f>
        <v>Fixed leg: John pays $38/credit (rate=0.6909)</v>
      </c>
      <c r="L12" s="1"/>
      <c r="M12" s="1"/>
      <c r="N12" s="1"/>
      <c r="O12" s="1"/>
    </row>
    <row r="13" spans="1:15" ht="19.5" customHeight="1" x14ac:dyDescent="0.25">
      <c r="A13" s="38" t="s">
        <v>112</v>
      </c>
      <c r="B13" s="44" t="s">
        <v>122</v>
      </c>
      <c r="C13" s="38" t="s">
        <v>108</v>
      </c>
      <c r="D13" s="38" t="s">
        <v>123</v>
      </c>
      <c r="E13" s="38" t="str">
        <f>TEXT('⚡ Inputs'!C17-1,"yyyy-mm-dd")</f>
        <v>2025-12-31</v>
      </c>
      <c r="F13" s="38" t="str">
        <f>TEXT('⚡ Inputs'!C17,"yyyy-mm-dd")</f>
        <v>2026-01-01</v>
      </c>
      <c r="G13" s="38" t="str">
        <f>TEXT('⚡ Inputs'!C18,"yyyy-mm-dd")</f>
        <v>2027-01-01</v>
      </c>
      <c r="H13" s="40">
        <f>'⚡ Inputs'!C19*'⚡ Inputs'!C12</f>
        <v>380000</v>
      </c>
      <c r="I13" s="46">
        <v>1</v>
      </c>
      <c r="J13" s="38" t="s">
        <v>110</v>
      </c>
      <c r="K13" s="42" t="s">
        <v>124</v>
      </c>
      <c r="L13" s="1"/>
      <c r="M13" s="1"/>
      <c r="N13" s="1"/>
      <c r="O13" s="1"/>
    </row>
    <row r="14" spans="1:15" ht="6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5" ht="21.75" customHeight="1" x14ac:dyDescent="0.25">
      <c r="A15" s="130" t="s">
        <v>125</v>
      </c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"/>
      <c r="M15" s="1"/>
      <c r="N15" s="1"/>
      <c r="O15" s="1"/>
    </row>
    <row r="16" spans="1:15" ht="19.5" customHeight="1" x14ac:dyDescent="0.25">
      <c r="A16" s="43" t="s">
        <v>126</v>
      </c>
      <c r="B16" s="48" t="s">
        <v>127</v>
      </c>
      <c r="C16" s="43" t="s">
        <v>108</v>
      </c>
      <c r="D16" s="43" t="s">
        <v>109</v>
      </c>
      <c r="E16" s="43" t="str">
        <f>TEXT('⚡ Inputs'!C17-1,"yyyy-mm-dd")</f>
        <v>2025-12-31</v>
      </c>
      <c r="F16" s="43" t="str">
        <f>TEXT('⚡ Inputs'!C17,"yyyy-mm-dd")</f>
        <v>2026-01-01</v>
      </c>
      <c r="G16" s="43" t="str">
        <f>TEXT('⚡ Inputs'!C18,"yyyy-mm-dd")</f>
        <v>2027-01-01</v>
      </c>
      <c r="H16" s="45">
        <f>'⚡ Inputs'!C16</f>
        <v>100000</v>
      </c>
      <c r="I16" s="49">
        <f>'⚡ Inputs'!C21</f>
        <v>0.09</v>
      </c>
      <c r="J16" s="43" t="s">
        <v>110</v>
      </c>
      <c r="K16" s="47" t="s">
        <v>128</v>
      </c>
      <c r="L16" s="1"/>
      <c r="M16" s="1"/>
      <c r="N16" s="1"/>
      <c r="O16" s="1"/>
    </row>
    <row r="17" spans="1:15" ht="19.5" customHeight="1" x14ac:dyDescent="0.25">
      <c r="A17" s="38" t="s">
        <v>126</v>
      </c>
      <c r="B17" s="48" t="s">
        <v>129</v>
      </c>
      <c r="C17" s="38" t="s">
        <v>116</v>
      </c>
      <c r="D17" s="38" t="s">
        <v>117</v>
      </c>
      <c r="E17" s="38" t="str">
        <f>TEXT('⚡ Inputs'!C17-1,"yyyy-mm-dd")</f>
        <v>2025-12-31</v>
      </c>
      <c r="F17" s="38" t="str">
        <f>TEXT('⚡ Inputs'!C17,"yyyy-mm-dd")</f>
        <v>2026-01-01</v>
      </c>
      <c r="G17" s="38" t="str">
        <f>TEXT('⚡ Inputs'!C18,"yyyy-mm-dd")</f>
        <v>2027-01-01</v>
      </c>
      <c r="H17" s="40">
        <f>'⚡ Inputs'!C19*'⚡ Inputs'!C12</f>
        <v>380000</v>
      </c>
      <c r="I17" s="38" t="s">
        <v>118</v>
      </c>
      <c r="J17" s="38" t="s">
        <v>118</v>
      </c>
      <c r="K17" s="42" t="s">
        <v>130</v>
      </c>
      <c r="L17" s="1"/>
      <c r="M17" s="1"/>
      <c r="N17" s="1"/>
      <c r="O17" s="1"/>
    </row>
    <row r="18" spans="1:15" ht="19.5" customHeight="1" x14ac:dyDescent="0.25">
      <c r="A18" s="43" t="s">
        <v>126</v>
      </c>
      <c r="B18" s="48" t="s">
        <v>131</v>
      </c>
      <c r="C18" s="43" t="s">
        <v>108</v>
      </c>
      <c r="D18" s="43" t="s">
        <v>121</v>
      </c>
      <c r="E18" s="43" t="str">
        <f>TEXT('⚡ Inputs'!C17-1,"yyyy-mm-dd")</f>
        <v>2025-12-31</v>
      </c>
      <c r="F18" s="43" t="str">
        <f>TEXT('⚡ Inputs'!C17,"yyyy-mm-dd")</f>
        <v>2026-01-01</v>
      </c>
      <c r="G18" s="43" t="str">
        <f>TEXT('⚡ Inputs'!C18,"yyyy-mm-dd")</f>
        <v>2027-01-01</v>
      </c>
      <c r="H18" s="45">
        <f>'⚡ Inputs'!C19*'⚡ Inputs'!C12</f>
        <v>380000</v>
      </c>
      <c r="I18" s="49">
        <f>ROUND('⚡ Inputs'!C19/'⚡ Inputs'!C13,4)</f>
        <v>0.69089999999999996</v>
      </c>
      <c r="J18" s="43" t="s">
        <v>118</v>
      </c>
      <c r="K18" s="47" t="str">
        <f>"Fixed leg: John pays $"&amp;'⚡ Inputs'!C19&amp;"/credit locked rate"</f>
        <v>Fixed leg: John pays $38/credit locked rate</v>
      </c>
      <c r="L18" s="1"/>
      <c r="M18" s="1"/>
      <c r="N18" s="1"/>
      <c r="O18" s="1"/>
    </row>
    <row r="19" spans="1:15" ht="19.5" customHeight="1" x14ac:dyDescent="0.25">
      <c r="A19" s="38" t="s">
        <v>126</v>
      </c>
      <c r="B19" s="48" t="s">
        <v>132</v>
      </c>
      <c r="C19" s="38" t="s">
        <v>108</v>
      </c>
      <c r="D19" s="38" t="s">
        <v>123</v>
      </c>
      <c r="E19" s="38" t="str">
        <f>TEXT('⚡ Inputs'!C17-1,"yyyy-mm-dd")</f>
        <v>2025-12-31</v>
      </c>
      <c r="F19" s="38" t="str">
        <f>TEXT('⚡ Inputs'!C17,"yyyy-mm-dd")</f>
        <v>2026-01-01</v>
      </c>
      <c r="G19" s="38" t="str">
        <f>TEXT('⚡ Inputs'!C18,"yyyy-mm-dd")</f>
        <v>2027-01-01</v>
      </c>
      <c r="H19" s="40">
        <f>'⚡ Inputs'!C19*'⚡ Inputs'!C12</f>
        <v>380000</v>
      </c>
      <c r="I19" s="49">
        <v>1</v>
      </c>
      <c r="J19" s="38" t="s">
        <v>110</v>
      </c>
      <c r="K19" s="42" t="s">
        <v>133</v>
      </c>
      <c r="L19" s="1"/>
      <c r="M19" s="1"/>
      <c r="N19" s="1"/>
      <c r="O19" s="1"/>
    </row>
    <row r="20" spans="1:15" ht="19.5" customHeight="1" x14ac:dyDescent="0.25">
      <c r="A20" s="43" t="s">
        <v>126</v>
      </c>
      <c r="B20" s="48" t="s">
        <v>134</v>
      </c>
      <c r="C20" s="43" t="s">
        <v>108</v>
      </c>
      <c r="D20" s="43" t="s">
        <v>135</v>
      </c>
      <c r="E20" s="43" t="str">
        <f>TEXT('⚡ Inputs'!C17-1,"yyyy-mm-dd")</f>
        <v>2025-12-31</v>
      </c>
      <c r="F20" s="43" t="str">
        <f>TEXT('⚡ Inputs'!C17,"yyyy-mm-dd")</f>
        <v>2026-01-01</v>
      </c>
      <c r="G20" s="43" t="str">
        <f>TEXT('⚡ Inputs'!C18,"yyyy-mm-dd")</f>
        <v>2027-01-01</v>
      </c>
      <c r="H20" s="45">
        <f>'⚡ Inputs'!C13*'⚡ Inputs'!C12</f>
        <v>550000</v>
      </c>
      <c r="I20" s="49">
        <f>'⚡ Inputs'!C20</f>
        <v>0.02</v>
      </c>
      <c r="J20" s="43" t="s">
        <v>136</v>
      </c>
      <c r="K20" s="47" t="s">
        <v>137</v>
      </c>
      <c r="L20" s="1"/>
      <c r="M20" s="1"/>
      <c r="N20" s="1"/>
      <c r="O20" s="1"/>
    </row>
    <row r="21" spans="1:15" ht="31.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1:15" ht="1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1:15" ht="1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1:15" ht="1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1:15" ht="1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</row>
    <row r="26" spans="1:15" ht="1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</row>
    <row r="27" spans="1:15" ht="1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</row>
    <row r="28" spans="1:15" ht="1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  <row r="29" spans="1:15" ht="1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 ht="1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5" ht="1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15" ht="1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1:15" ht="1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1:15" ht="1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ht="1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1:15" ht="1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1:15" ht="1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1:15" ht="1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1:15" ht="1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5" ht="1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5" ht="1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1:15" ht="1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1:15" ht="1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1:15" ht="1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</row>
    <row r="45" spans="1:15" ht="1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</row>
    <row r="46" spans="1:15" ht="1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1:15" ht="1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1:15" ht="1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</row>
    <row r="49" spans="1:15" ht="1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</sheetData>
  <mergeCells count="6">
    <mergeCell ref="A15:K15"/>
    <mergeCell ref="A1:N2"/>
    <mergeCell ref="A3:N3"/>
    <mergeCell ref="A4:N4"/>
    <mergeCell ref="A6:K6"/>
    <mergeCell ref="A9:K9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SendToACTUS">
                <anchor moveWithCells="1" sizeWithCells="1">
                  <from>
                    <xdr:col>0</xdr:col>
                    <xdr:colOff>57150</xdr:colOff>
                    <xdr:row>19</xdr:row>
                    <xdr:rowOff>85725</xdr:rowOff>
                  </from>
                  <to>
                    <xdr:col>4</xdr:col>
                    <xdr:colOff>371475</xdr:colOff>
                    <xdr:row>20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E67E00"/>
  </sheetPr>
  <dimension ref="A1:J70"/>
  <sheetViews>
    <sheetView showGridLines="0" zoomScale="85" zoomScaleNormal="85" workbookViewId="0">
      <pane ySplit="5" topLeftCell="A6" activePane="bottomLeft" state="frozen"/>
      <selection pane="bottomLeft" activeCell="A42" sqref="A42"/>
    </sheetView>
  </sheetViews>
  <sheetFormatPr defaultColWidth="8.7109375" defaultRowHeight="15" x14ac:dyDescent="0.25"/>
  <cols>
    <col min="1" max="1" width="12.85546875" bestFit="1" customWidth="1"/>
    <col min="2" max="2" width="12.5703125" bestFit="1" customWidth="1"/>
    <col min="3" max="3" width="16.42578125" bestFit="1" customWidth="1"/>
    <col min="4" max="4" width="9.28515625" bestFit="1" customWidth="1"/>
    <col min="5" max="5" width="11.140625" bestFit="1" customWidth="1"/>
    <col min="6" max="6" width="16.140625" bestFit="1" customWidth="1"/>
    <col min="7" max="8" width="14.85546875" bestFit="1" customWidth="1"/>
    <col min="9" max="9" width="14" customWidth="1"/>
    <col min="10" max="10" width="22" customWidth="1"/>
  </cols>
  <sheetData>
    <row r="1" spans="1:10" ht="19.5" customHeight="1" x14ac:dyDescent="0.35">
      <c r="A1" s="154" t="s">
        <v>138</v>
      </c>
      <c r="B1" s="155"/>
      <c r="C1" s="155"/>
      <c r="D1" s="155"/>
      <c r="E1" s="155"/>
      <c r="F1" s="155"/>
      <c r="G1" s="155"/>
      <c r="H1" s="155"/>
      <c r="I1" s="155"/>
      <c r="J1" s="155"/>
    </row>
    <row r="2" spans="1:10" ht="18" customHeight="1" x14ac:dyDescent="0.25">
      <c r="A2" s="77"/>
      <c r="B2" s="77"/>
      <c r="C2" s="77"/>
      <c r="D2" s="77"/>
      <c r="E2" s="77"/>
      <c r="F2" s="77"/>
      <c r="G2" s="77"/>
      <c r="H2" s="77"/>
      <c r="I2" s="77"/>
      <c r="J2" s="77"/>
    </row>
    <row r="3" spans="1:10" ht="19.5" customHeight="1" x14ac:dyDescent="0.25">
      <c r="A3" s="156" t="s">
        <v>250</v>
      </c>
      <c r="B3" s="155"/>
      <c r="C3" s="155"/>
      <c r="D3" s="155"/>
      <c r="E3" s="155"/>
      <c r="F3" s="155"/>
      <c r="G3" s="155"/>
      <c r="H3" s="155"/>
      <c r="I3" s="155"/>
      <c r="J3" s="155"/>
    </row>
    <row r="4" spans="1:10" ht="7.5" customHeight="1" x14ac:dyDescent="0.25">
      <c r="A4" s="93"/>
      <c r="B4" s="93"/>
      <c r="C4" s="93"/>
      <c r="D4" s="93"/>
      <c r="E4" s="93"/>
      <c r="F4" s="93"/>
      <c r="G4" s="93"/>
      <c r="H4" s="93"/>
      <c r="I4" s="93"/>
      <c r="J4" s="93"/>
    </row>
    <row r="5" spans="1:10" ht="15.75" customHeight="1" thickBot="1" x14ac:dyDescent="0.3">
      <c r="A5" s="117" t="s">
        <v>139</v>
      </c>
      <c r="B5" s="117" t="s">
        <v>95</v>
      </c>
      <c r="C5" s="117" t="s">
        <v>140</v>
      </c>
      <c r="D5" s="117" t="s">
        <v>62</v>
      </c>
      <c r="E5" s="117" t="s">
        <v>141</v>
      </c>
      <c r="F5" s="117" t="s">
        <v>142</v>
      </c>
      <c r="G5" s="117" t="s">
        <v>143</v>
      </c>
      <c r="H5" s="117" t="s">
        <v>144</v>
      </c>
    </row>
    <row r="7" spans="1:10" x14ac:dyDescent="0.25">
      <c r="A7" t="s">
        <v>218</v>
      </c>
      <c r="B7" t="s">
        <v>253</v>
      </c>
      <c r="C7" t="s">
        <v>254</v>
      </c>
      <c r="D7" t="s">
        <v>255</v>
      </c>
      <c r="E7" t="s">
        <v>256</v>
      </c>
      <c r="F7" t="s">
        <v>257</v>
      </c>
      <c r="G7" t="s">
        <v>258</v>
      </c>
    </row>
    <row r="8" spans="1:10" x14ac:dyDescent="0.25">
      <c r="A8" s="194" t="s">
        <v>259</v>
      </c>
      <c r="B8" t="s">
        <v>260</v>
      </c>
      <c r="C8" t="s">
        <v>261</v>
      </c>
      <c r="D8">
        <v>-100000</v>
      </c>
      <c r="E8" t="s">
        <v>27</v>
      </c>
      <c r="F8">
        <v>100000</v>
      </c>
      <c r="G8">
        <v>0.09</v>
      </c>
    </row>
    <row r="9" spans="1:10" x14ac:dyDescent="0.25">
      <c r="A9" s="194" t="s">
        <v>259</v>
      </c>
      <c r="B9" t="s">
        <v>262</v>
      </c>
      <c r="C9" t="s">
        <v>263</v>
      </c>
      <c r="D9">
        <v>2250</v>
      </c>
      <c r="E9" t="s">
        <v>27</v>
      </c>
      <c r="F9">
        <v>100000</v>
      </c>
      <c r="G9">
        <v>0.09</v>
      </c>
    </row>
    <row r="10" spans="1:10" x14ac:dyDescent="0.25">
      <c r="A10" s="194" t="s">
        <v>259</v>
      </c>
      <c r="B10" t="s">
        <v>262</v>
      </c>
      <c r="C10" t="s">
        <v>264</v>
      </c>
      <c r="D10">
        <v>2250</v>
      </c>
      <c r="E10" t="s">
        <v>27</v>
      </c>
      <c r="F10">
        <v>100000</v>
      </c>
      <c r="G10">
        <v>0.09</v>
      </c>
    </row>
    <row r="11" spans="1:10" x14ac:dyDescent="0.25">
      <c r="A11" s="194" t="s">
        <v>259</v>
      </c>
      <c r="B11" t="s">
        <v>262</v>
      </c>
      <c r="C11" t="s">
        <v>265</v>
      </c>
      <c r="D11">
        <v>2250</v>
      </c>
      <c r="E11" t="s">
        <v>27</v>
      </c>
      <c r="F11">
        <v>100000</v>
      </c>
      <c r="G11">
        <v>0.09</v>
      </c>
    </row>
    <row r="12" spans="1:10" x14ac:dyDescent="0.25">
      <c r="A12" s="194" t="s">
        <v>259</v>
      </c>
      <c r="B12" t="s">
        <v>262</v>
      </c>
      <c r="C12" t="s">
        <v>266</v>
      </c>
      <c r="D12">
        <v>2250</v>
      </c>
      <c r="E12" t="s">
        <v>27</v>
      </c>
      <c r="F12">
        <v>100000</v>
      </c>
      <c r="G12">
        <v>0.09</v>
      </c>
    </row>
    <row r="13" spans="1:10" x14ac:dyDescent="0.25">
      <c r="A13" s="194" t="s">
        <v>259</v>
      </c>
      <c r="B13" t="s">
        <v>267</v>
      </c>
      <c r="C13" t="s">
        <v>266</v>
      </c>
      <c r="D13">
        <v>100000</v>
      </c>
      <c r="E13" t="s">
        <v>27</v>
      </c>
      <c r="F13">
        <v>0</v>
      </c>
      <c r="G13">
        <v>0.09</v>
      </c>
    </row>
    <row r="15" spans="1:10" ht="21.75" customHeight="1" x14ac:dyDescent="0.25"/>
    <row r="16" spans="1:10" x14ac:dyDescent="0.25">
      <c r="A16" t="s">
        <v>218</v>
      </c>
      <c r="B16" t="s">
        <v>268</v>
      </c>
      <c r="C16" t="s">
        <v>253</v>
      </c>
      <c r="D16" t="s">
        <v>254</v>
      </c>
      <c r="E16" t="s">
        <v>255</v>
      </c>
      <c r="F16" t="s">
        <v>256</v>
      </c>
      <c r="G16" t="s">
        <v>257</v>
      </c>
      <c r="H16" t="s">
        <v>258</v>
      </c>
    </row>
    <row r="17" spans="1:8" x14ac:dyDescent="0.25">
      <c r="A17" s="194" t="s">
        <v>269</v>
      </c>
      <c r="B17" t="s">
        <v>113</v>
      </c>
      <c r="C17" t="s">
        <v>260</v>
      </c>
      <c r="D17" t="s">
        <v>261</v>
      </c>
      <c r="E17">
        <v>-100000</v>
      </c>
      <c r="F17" t="s">
        <v>27</v>
      </c>
      <c r="G17">
        <v>100000</v>
      </c>
      <c r="H17">
        <v>0.09</v>
      </c>
    </row>
    <row r="18" spans="1:8" x14ac:dyDescent="0.25">
      <c r="A18" s="194" t="s">
        <v>269</v>
      </c>
      <c r="B18" t="s">
        <v>113</v>
      </c>
      <c r="C18" t="s">
        <v>262</v>
      </c>
      <c r="D18" t="s">
        <v>263</v>
      </c>
      <c r="E18">
        <v>2250</v>
      </c>
      <c r="F18" t="s">
        <v>27</v>
      </c>
      <c r="G18">
        <v>100000</v>
      </c>
      <c r="H18">
        <v>0.09</v>
      </c>
    </row>
    <row r="19" spans="1:8" x14ac:dyDescent="0.25">
      <c r="A19" s="194" t="s">
        <v>269</v>
      </c>
      <c r="B19" t="s">
        <v>113</v>
      </c>
      <c r="C19" t="s">
        <v>262</v>
      </c>
      <c r="D19" t="s">
        <v>264</v>
      </c>
      <c r="E19">
        <v>2250</v>
      </c>
      <c r="F19" t="s">
        <v>27</v>
      </c>
      <c r="G19">
        <v>100000</v>
      </c>
      <c r="H19">
        <v>0.09</v>
      </c>
    </row>
    <row r="20" spans="1:8" x14ac:dyDescent="0.25">
      <c r="A20" s="194" t="s">
        <v>269</v>
      </c>
      <c r="B20" t="s">
        <v>113</v>
      </c>
      <c r="C20" t="s">
        <v>262</v>
      </c>
      <c r="D20" t="s">
        <v>265</v>
      </c>
      <c r="E20">
        <v>2250</v>
      </c>
      <c r="F20" t="s">
        <v>27</v>
      </c>
      <c r="G20">
        <v>100000</v>
      </c>
      <c r="H20">
        <v>0.09</v>
      </c>
    </row>
    <row r="21" spans="1:8" x14ac:dyDescent="0.25">
      <c r="A21" s="194" t="s">
        <v>269</v>
      </c>
      <c r="B21" t="s">
        <v>113</v>
      </c>
      <c r="C21" t="s">
        <v>262</v>
      </c>
      <c r="D21" t="s">
        <v>266</v>
      </c>
      <c r="E21">
        <v>2250</v>
      </c>
      <c r="F21" t="s">
        <v>27</v>
      </c>
      <c r="G21">
        <v>100000</v>
      </c>
      <c r="H21">
        <v>0.09</v>
      </c>
    </row>
    <row r="22" spans="1:8" x14ac:dyDescent="0.25">
      <c r="A22" s="194" t="s">
        <v>269</v>
      </c>
      <c r="B22" t="s">
        <v>113</v>
      </c>
      <c r="C22" t="s">
        <v>267</v>
      </c>
      <c r="D22" t="s">
        <v>266</v>
      </c>
      <c r="E22">
        <v>100000</v>
      </c>
      <c r="F22" t="s">
        <v>27</v>
      </c>
      <c r="G22">
        <v>0</v>
      </c>
      <c r="H22">
        <v>0.09</v>
      </c>
    </row>
    <row r="23" spans="1:8" x14ac:dyDescent="0.25">
      <c r="A23" s="194" t="s">
        <v>269</v>
      </c>
      <c r="B23" t="s">
        <v>115</v>
      </c>
      <c r="C23" t="s">
        <v>260</v>
      </c>
      <c r="D23" t="s">
        <v>261</v>
      </c>
      <c r="E23">
        <v>380000</v>
      </c>
      <c r="F23" t="s">
        <v>27</v>
      </c>
      <c r="G23">
        <v>-380000</v>
      </c>
      <c r="H23">
        <v>0.69089999999999996</v>
      </c>
    </row>
    <row r="24" spans="1:8" x14ac:dyDescent="0.25">
      <c r="A24" s="194" t="s">
        <v>269</v>
      </c>
      <c r="B24" t="s">
        <v>115</v>
      </c>
      <c r="C24" t="s">
        <v>260</v>
      </c>
      <c r="D24" t="s">
        <v>261</v>
      </c>
      <c r="E24">
        <v>-380000</v>
      </c>
      <c r="F24" t="s">
        <v>27</v>
      </c>
      <c r="G24">
        <v>380000</v>
      </c>
      <c r="H24">
        <v>1</v>
      </c>
    </row>
    <row r="25" spans="1:8" x14ac:dyDescent="0.25">
      <c r="A25" s="194" t="s">
        <v>269</v>
      </c>
      <c r="B25" t="s">
        <v>115</v>
      </c>
      <c r="C25" t="s">
        <v>270</v>
      </c>
      <c r="D25" t="s">
        <v>261</v>
      </c>
      <c r="E25">
        <v>0</v>
      </c>
      <c r="F25" t="s">
        <v>27</v>
      </c>
      <c r="G25">
        <v>380000</v>
      </c>
      <c r="H25">
        <v>1</v>
      </c>
    </row>
    <row r="26" spans="1:8" x14ac:dyDescent="0.25">
      <c r="A26" s="194" t="s">
        <v>269</v>
      </c>
      <c r="B26" t="s">
        <v>115</v>
      </c>
      <c r="C26" t="s">
        <v>262</v>
      </c>
      <c r="D26" t="s">
        <v>263</v>
      </c>
      <c r="E26">
        <v>-65635.5</v>
      </c>
      <c r="F26" t="s">
        <v>27</v>
      </c>
      <c r="G26">
        <v>-380000</v>
      </c>
      <c r="H26">
        <v>0.69089999999999996</v>
      </c>
    </row>
    <row r="27" spans="1:8" x14ac:dyDescent="0.25">
      <c r="A27" s="194" t="s">
        <v>269</v>
      </c>
      <c r="B27" t="s">
        <v>115</v>
      </c>
      <c r="C27" t="s">
        <v>262</v>
      </c>
      <c r="D27" t="s">
        <v>263</v>
      </c>
      <c r="E27">
        <v>95000</v>
      </c>
      <c r="F27" t="s">
        <v>27</v>
      </c>
      <c r="G27">
        <v>380000</v>
      </c>
      <c r="H27">
        <v>1</v>
      </c>
    </row>
    <row r="28" spans="1:8" x14ac:dyDescent="0.25">
      <c r="A28" s="194" t="s">
        <v>269</v>
      </c>
      <c r="B28" t="s">
        <v>115</v>
      </c>
      <c r="C28" t="s">
        <v>270</v>
      </c>
      <c r="D28" t="s">
        <v>263</v>
      </c>
      <c r="E28">
        <v>0</v>
      </c>
      <c r="F28" t="s">
        <v>27</v>
      </c>
      <c r="G28">
        <v>380000</v>
      </c>
      <c r="H28">
        <v>1</v>
      </c>
    </row>
    <row r="29" spans="1:8" x14ac:dyDescent="0.25">
      <c r="A29" s="194" t="s">
        <v>269</v>
      </c>
      <c r="B29" t="s">
        <v>115</v>
      </c>
      <c r="C29" t="s">
        <v>262</v>
      </c>
      <c r="D29" t="s">
        <v>264</v>
      </c>
      <c r="E29">
        <v>-65635.5</v>
      </c>
      <c r="F29" t="s">
        <v>27</v>
      </c>
      <c r="G29">
        <v>-380000</v>
      </c>
      <c r="H29">
        <v>0.69089999999999996</v>
      </c>
    </row>
    <row r="30" spans="1:8" x14ac:dyDescent="0.25">
      <c r="A30" s="194" t="s">
        <v>269</v>
      </c>
      <c r="B30" t="s">
        <v>115</v>
      </c>
      <c r="C30" t="s">
        <v>262</v>
      </c>
      <c r="D30" t="s">
        <v>264</v>
      </c>
      <c r="E30">
        <v>95000</v>
      </c>
      <c r="F30" t="s">
        <v>27</v>
      </c>
      <c r="G30">
        <v>380000</v>
      </c>
      <c r="H30">
        <v>1</v>
      </c>
    </row>
    <row r="31" spans="1:8" x14ac:dyDescent="0.25">
      <c r="A31" s="194" t="s">
        <v>269</v>
      </c>
      <c r="B31" t="s">
        <v>115</v>
      </c>
      <c r="C31" t="s">
        <v>270</v>
      </c>
      <c r="D31" t="s">
        <v>264</v>
      </c>
      <c r="E31">
        <v>0</v>
      </c>
      <c r="F31" t="s">
        <v>27</v>
      </c>
      <c r="G31">
        <v>380000</v>
      </c>
      <c r="H31">
        <v>0.27269999999999994</v>
      </c>
    </row>
    <row r="32" spans="1:8" x14ac:dyDescent="0.25">
      <c r="A32" s="194" t="s">
        <v>269</v>
      </c>
      <c r="B32" t="s">
        <v>115</v>
      </c>
      <c r="C32" t="s">
        <v>262</v>
      </c>
      <c r="D32" t="s">
        <v>265</v>
      </c>
      <c r="E32">
        <v>-65635.5</v>
      </c>
      <c r="F32" t="s">
        <v>27</v>
      </c>
      <c r="G32">
        <v>-380000</v>
      </c>
      <c r="H32">
        <v>0.69089999999999996</v>
      </c>
    </row>
    <row r="33" spans="1:8" x14ac:dyDescent="0.25">
      <c r="A33" s="194" t="s">
        <v>269</v>
      </c>
      <c r="B33" t="s">
        <v>115</v>
      </c>
      <c r="C33" t="s">
        <v>262</v>
      </c>
      <c r="D33" t="s">
        <v>265</v>
      </c>
      <c r="E33">
        <v>25906.499999999993</v>
      </c>
      <c r="F33" t="s">
        <v>27</v>
      </c>
      <c r="G33">
        <v>380000</v>
      </c>
      <c r="H33">
        <v>0.27269999999999994</v>
      </c>
    </row>
    <row r="34" spans="1:8" x14ac:dyDescent="0.25">
      <c r="A34" s="194" t="s">
        <v>269</v>
      </c>
      <c r="B34" t="s">
        <v>115</v>
      </c>
      <c r="C34" t="s">
        <v>270</v>
      </c>
      <c r="D34" t="s">
        <v>265</v>
      </c>
      <c r="E34">
        <v>0</v>
      </c>
      <c r="F34" t="s">
        <v>27</v>
      </c>
      <c r="G34">
        <v>380000</v>
      </c>
      <c r="H34">
        <v>0.2727</v>
      </c>
    </row>
    <row r="35" spans="1:8" x14ac:dyDescent="0.25">
      <c r="A35" s="194" t="s">
        <v>269</v>
      </c>
      <c r="B35" t="s">
        <v>115</v>
      </c>
      <c r="C35" t="s">
        <v>262</v>
      </c>
      <c r="D35" t="s">
        <v>266</v>
      </c>
      <c r="E35">
        <v>-65635.5</v>
      </c>
      <c r="F35" t="s">
        <v>27</v>
      </c>
      <c r="G35">
        <v>-380000</v>
      </c>
      <c r="H35">
        <v>0.69089999999999996</v>
      </c>
    </row>
    <row r="36" spans="1:8" x14ac:dyDescent="0.25">
      <c r="A36" s="194" t="s">
        <v>269</v>
      </c>
      <c r="B36" t="s">
        <v>115</v>
      </c>
      <c r="C36" t="s">
        <v>262</v>
      </c>
      <c r="D36" t="s">
        <v>266</v>
      </c>
      <c r="E36">
        <v>25906.5</v>
      </c>
      <c r="F36" t="s">
        <v>27</v>
      </c>
      <c r="G36">
        <v>380000</v>
      </c>
      <c r="H36">
        <v>0.2727</v>
      </c>
    </row>
    <row r="37" spans="1:8" x14ac:dyDescent="0.25">
      <c r="A37" s="194" t="s">
        <v>269</v>
      </c>
      <c r="B37" t="s">
        <v>115</v>
      </c>
      <c r="C37" t="s">
        <v>267</v>
      </c>
      <c r="D37" t="s">
        <v>266</v>
      </c>
      <c r="E37">
        <v>-380000</v>
      </c>
      <c r="F37" t="s">
        <v>27</v>
      </c>
      <c r="G37">
        <v>0</v>
      </c>
      <c r="H37">
        <v>0.69089999999999996</v>
      </c>
    </row>
    <row r="38" spans="1:8" x14ac:dyDescent="0.25">
      <c r="A38" s="194" t="s">
        <v>269</v>
      </c>
      <c r="B38" t="s">
        <v>115</v>
      </c>
      <c r="C38" t="s">
        <v>267</v>
      </c>
      <c r="D38" t="s">
        <v>266</v>
      </c>
      <c r="E38">
        <v>380000</v>
      </c>
      <c r="F38" t="s">
        <v>27</v>
      </c>
      <c r="G38">
        <v>0</v>
      </c>
      <c r="H38">
        <v>0.2727</v>
      </c>
    </row>
    <row r="40" spans="1:8" ht="15" customHeight="1" x14ac:dyDescent="0.25"/>
    <row r="41" spans="1:8" ht="15" customHeight="1" x14ac:dyDescent="0.25"/>
    <row r="42" spans="1:8" x14ac:dyDescent="0.25">
      <c r="A42" t="s">
        <v>218</v>
      </c>
      <c r="B42" t="s">
        <v>268</v>
      </c>
      <c r="C42" t="s">
        <v>253</v>
      </c>
      <c r="D42" t="s">
        <v>254</v>
      </c>
      <c r="E42" t="s">
        <v>255</v>
      </c>
      <c r="F42" t="s">
        <v>256</v>
      </c>
      <c r="G42" t="s">
        <v>257</v>
      </c>
      <c r="H42" t="s">
        <v>258</v>
      </c>
    </row>
    <row r="43" spans="1:8" x14ac:dyDescent="0.25">
      <c r="A43" s="194" t="s">
        <v>271</v>
      </c>
      <c r="B43" t="s">
        <v>127</v>
      </c>
      <c r="C43" t="s">
        <v>260</v>
      </c>
      <c r="D43" t="s">
        <v>261</v>
      </c>
      <c r="E43">
        <v>-100000</v>
      </c>
      <c r="F43" t="s">
        <v>27</v>
      </c>
      <c r="G43">
        <v>100000</v>
      </c>
      <c r="H43">
        <v>0.09</v>
      </c>
    </row>
    <row r="44" spans="1:8" x14ac:dyDescent="0.25">
      <c r="A44" s="194" t="s">
        <v>271</v>
      </c>
      <c r="B44" t="s">
        <v>127</v>
      </c>
      <c r="C44" t="s">
        <v>262</v>
      </c>
      <c r="D44" t="s">
        <v>263</v>
      </c>
      <c r="E44">
        <v>2250</v>
      </c>
      <c r="F44" t="s">
        <v>27</v>
      </c>
      <c r="G44">
        <v>100000</v>
      </c>
      <c r="H44">
        <v>0.09</v>
      </c>
    </row>
    <row r="45" spans="1:8" x14ac:dyDescent="0.25">
      <c r="A45" s="194" t="s">
        <v>271</v>
      </c>
      <c r="B45" t="s">
        <v>127</v>
      </c>
      <c r="C45" t="s">
        <v>262</v>
      </c>
      <c r="D45" t="s">
        <v>264</v>
      </c>
      <c r="E45">
        <v>2250</v>
      </c>
      <c r="F45" t="s">
        <v>27</v>
      </c>
      <c r="G45">
        <v>100000</v>
      </c>
      <c r="H45">
        <v>0.09</v>
      </c>
    </row>
    <row r="46" spans="1:8" x14ac:dyDescent="0.25">
      <c r="A46" s="194" t="s">
        <v>271</v>
      </c>
      <c r="B46" t="s">
        <v>127</v>
      </c>
      <c r="C46" t="s">
        <v>262</v>
      </c>
      <c r="D46" t="s">
        <v>265</v>
      </c>
      <c r="E46">
        <v>2250</v>
      </c>
      <c r="F46" t="s">
        <v>27</v>
      </c>
      <c r="G46">
        <v>100000</v>
      </c>
      <c r="H46">
        <v>0.09</v>
      </c>
    </row>
    <row r="47" spans="1:8" x14ac:dyDescent="0.25">
      <c r="A47" s="194" t="s">
        <v>271</v>
      </c>
      <c r="B47" t="s">
        <v>127</v>
      </c>
      <c r="C47" t="s">
        <v>262</v>
      </c>
      <c r="D47" t="s">
        <v>266</v>
      </c>
      <c r="E47">
        <v>2250</v>
      </c>
      <c r="F47" t="s">
        <v>27</v>
      </c>
      <c r="G47">
        <v>100000</v>
      </c>
      <c r="H47">
        <v>0.09</v>
      </c>
    </row>
    <row r="48" spans="1:8" x14ac:dyDescent="0.25">
      <c r="A48" s="194" t="s">
        <v>271</v>
      </c>
      <c r="B48" t="s">
        <v>127</v>
      </c>
      <c r="C48" t="s">
        <v>267</v>
      </c>
      <c r="D48" t="s">
        <v>266</v>
      </c>
      <c r="E48">
        <v>100000</v>
      </c>
      <c r="F48" t="s">
        <v>27</v>
      </c>
      <c r="G48">
        <v>0</v>
      </c>
      <c r="H48">
        <v>0.09</v>
      </c>
    </row>
    <row r="49" spans="1:8" x14ac:dyDescent="0.25">
      <c r="A49" s="194" t="s">
        <v>271</v>
      </c>
      <c r="B49" t="s">
        <v>129</v>
      </c>
      <c r="C49" t="s">
        <v>260</v>
      </c>
      <c r="D49" t="s">
        <v>261</v>
      </c>
      <c r="E49">
        <v>380000</v>
      </c>
      <c r="F49" t="s">
        <v>27</v>
      </c>
      <c r="G49">
        <v>-380000</v>
      </c>
      <c r="H49">
        <v>0.69089999999999996</v>
      </c>
    </row>
    <row r="50" spans="1:8" x14ac:dyDescent="0.25">
      <c r="A50" s="194" t="s">
        <v>271</v>
      </c>
      <c r="B50" t="s">
        <v>129</v>
      </c>
      <c r="C50" t="s">
        <v>260</v>
      </c>
      <c r="D50" t="s">
        <v>261</v>
      </c>
      <c r="E50">
        <v>-380000</v>
      </c>
      <c r="F50" t="s">
        <v>27</v>
      </c>
      <c r="G50">
        <v>380000</v>
      </c>
      <c r="H50">
        <v>1</v>
      </c>
    </row>
    <row r="51" spans="1:8" x14ac:dyDescent="0.25">
      <c r="A51" s="194" t="s">
        <v>271</v>
      </c>
      <c r="B51" t="s">
        <v>129</v>
      </c>
      <c r="C51" t="s">
        <v>270</v>
      </c>
      <c r="D51" t="s">
        <v>261</v>
      </c>
      <c r="E51">
        <v>0</v>
      </c>
      <c r="F51" t="s">
        <v>27</v>
      </c>
      <c r="G51">
        <v>380000</v>
      </c>
      <c r="H51">
        <v>1</v>
      </c>
    </row>
    <row r="52" spans="1:8" x14ac:dyDescent="0.25">
      <c r="A52" s="194" t="s">
        <v>271</v>
      </c>
      <c r="B52" t="s">
        <v>129</v>
      </c>
      <c r="C52" t="s">
        <v>262</v>
      </c>
      <c r="D52" t="s">
        <v>263</v>
      </c>
      <c r="E52">
        <v>-65635.5</v>
      </c>
      <c r="F52" t="s">
        <v>27</v>
      </c>
      <c r="G52">
        <v>-380000</v>
      </c>
      <c r="H52">
        <v>0.69089999999999996</v>
      </c>
    </row>
    <row r="53" spans="1:8" x14ac:dyDescent="0.25">
      <c r="A53" s="194" t="s">
        <v>271</v>
      </c>
      <c r="B53" t="s">
        <v>129</v>
      </c>
      <c r="C53" t="s">
        <v>262</v>
      </c>
      <c r="D53" t="s">
        <v>263</v>
      </c>
      <c r="E53">
        <v>95000</v>
      </c>
      <c r="F53" t="s">
        <v>27</v>
      </c>
      <c r="G53">
        <v>380000</v>
      </c>
      <c r="H53">
        <v>1</v>
      </c>
    </row>
    <row r="54" spans="1:8" x14ac:dyDescent="0.25">
      <c r="A54" s="194" t="s">
        <v>271</v>
      </c>
      <c r="B54" t="s">
        <v>129</v>
      </c>
      <c r="C54" t="s">
        <v>270</v>
      </c>
      <c r="D54" t="s">
        <v>263</v>
      </c>
      <c r="E54">
        <v>0</v>
      </c>
      <c r="F54" t="s">
        <v>27</v>
      </c>
      <c r="G54">
        <v>380000</v>
      </c>
      <c r="H54">
        <v>1</v>
      </c>
    </row>
    <row r="55" spans="1:8" x14ac:dyDescent="0.25">
      <c r="A55" s="194" t="s">
        <v>271</v>
      </c>
      <c r="B55" t="s">
        <v>129</v>
      </c>
      <c r="C55" t="s">
        <v>262</v>
      </c>
      <c r="D55" t="s">
        <v>264</v>
      </c>
      <c r="E55">
        <v>-65635.5</v>
      </c>
      <c r="F55" t="s">
        <v>27</v>
      </c>
      <c r="G55">
        <v>-380000</v>
      </c>
      <c r="H55">
        <v>0.69089999999999996</v>
      </c>
    </row>
    <row r="56" spans="1:8" x14ac:dyDescent="0.25">
      <c r="A56" s="194" t="s">
        <v>271</v>
      </c>
      <c r="B56" t="s">
        <v>129</v>
      </c>
      <c r="C56" t="s">
        <v>262</v>
      </c>
      <c r="D56" t="s">
        <v>264</v>
      </c>
      <c r="E56">
        <v>95000</v>
      </c>
      <c r="F56" t="s">
        <v>27</v>
      </c>
      <c r="G56">
        <v>380000</v>
      </c>
      <c r="H56">
        <v>1</v>
      </c>
    </row>
    <row r="57" spans="1:8" x14ac:dyDescent="0.25">
      <c r="A57" s="194" t="s">
        <v>271</v>
      </c>
      <c r="B57" t="s">
        <v>129</v>
      </c>
      <c r="C57" t="s">
        <v>270</v>
      </c>
      <c r="D57" t="s">
        <v>264</v>
      </c>
      <c r="E57">
        <v>0</v>
      </c>
      <c r="F57" t="s">
        <v>27</v>
      </c>
      <c r="G57">
        <v>380000</v>
      </c>
      <c r="H57">
        <v>0.27269999999999994</v>
      </c>
    </row>
    <row r="58" spans="1:8" x14ac:dyDescent="0.25">
      <c r="A58" s="194" t="s">
        <v>271</v>
      </c>
      <c r="B58" t="s">
        <v>129</v>
      </c>
      <c r="C58" t="s">
        <v>262</v>
      </c>
      <c r="D58" t="s">
        <v>265</v>
      </c>
      <c r="E58">
        <v>-65635.5</v>
      </c>
      <c r="F58" t="s">
        <v>27</v>
      </c>
      <c r="G58">
        <v>-380000</v>
      </c>
      <c r="H58">
        <v>0.69089999999999996</v>
      </c>
    </row>
    <row r="59" spans="1:8" x14ac:dyDescent="0.25">
      <c r="A59" s="194" t="s">
        <v>271</v>
      </c>
      <c r="B59" t="s">
        <v>129</v>
      </c>
      <c r="C59" t="s">
        <v>262</v>
      </c>
      <c r="D59" t="s">
        <v>265</v>
      </c>
      <c r="E59">
        <v>25906.499999999993</v>
      </c>
      <c r="F59" t="s">
        <v>27</v>
      </c>
      <c r="G59">
        <v>380000</v>
      </c>
      <c r="H59">
        <v>0.27269999999999994</v>
      </c>
    </row>
    <row r="60" spans="1:8" x14ac:dyDescent="0.25">
      <c r="A60" s="194" t="s">
        <v>271</v>
      </c>
      <c r="B60" t="s">
        <v>129</v>
      </c>
      <c r="C60" t="s">
        <v>270</v>
      </c>
      <c r="D60" t="s">
        <v>265</v>
      </c>
      <c r="E60">
        <v>0</v>
      </c>
      <c r="F60" t="s">
        <v>27</v>
      </c>
      <c r="G60">
        <v>380000</v>
      </c>
      <c r="H60">
        <v>0.2727</v>
      </c>
    </row>
    <row r="61" spans="1:8" x14ac:dyDescent="0.25">
      <c r="A61" s="194" t="s">
        <v>271</v>
      </c>
      <c r="B61" t="s">
        <v>129</v>
      </c>
      <c r="C61" t="s">
        <v>262</v>
      </c>
      <c r="D61" t="s">
        <v>266</v>
      </c>
      <c r="E61">
        <v>-65635.5</v>
      </c>
      <c r="F61" t="s">
        <v>27</v>
      </c>
      <c r="G61">
        <v>-380000</v>
      </c>
      <c r="H61">
        <v>0.69089999999999996</v>
      </c>
    </row>
    <row r="62" spans="1:8" x14ac:dyDescent="0.25">
      <c r="A62" s="194" t="s">
        <v>271</v>
      </c>
      <c r="B62" t="s">
        <v>129</v>
      </c>
      <c r="C62" t="s">
        <v>262</v>
      </c>
      <c r="D62" t="s">
        <v>266</v>
      </c>
      <c r="E62">
        <v>25906.5</v>
      </c>
      <c r="F62" t="s">
        <v>27</v>
      </c>
      <c r="G62">
        <v>380000</v>
      </c>
      <c r="H62">
        <v>0.2727</v>
      </c>
    </row>
    <row r="63" spans="1:8" x14ac:dyDescent="0.25">
      <c r="A63" s="194" t="s">
        <v>271</v>
      </c>
      <c r="B63" t="s">
        <v>129</v>
      </c>
      <c r="C63" t="s">
        <v>267</v>
      </c>
      <c r="D63" t="s">
        <v>266</v>
      </c>
      <c r="E63">
        <v>-380000</v>
      </c>
      <c r="F63" t="s">
        <v>27</v>
      </c>
      <c r="G63">
        <v>0</v>
      </c>
      <c r="H63">
        <v>0.69089999999999996</v>
      </c>
    </row>
    <row r="64" spans="1:8" x14ac:dyDescent="0.25">
      <c r="A64" s="194" t="s">
        <v>271</v>
      </c>
      <c r="B64" t="s">
        <v>129</v>
      </c>
      <c r="C64" t="s">
        <v>267</v>
      </c>
      <c r="D64" t="s">
        <v>266</v>
      </c>
      <c r="E64">
        <v>380000</v>
      </c>
      <c r="F64" t="s">
        <v>27</v>
      </c>
      <c r="G64">
        <v>0</v>
      </c>
      <c r="H64">
        <v>0.2727</v>
      </c>
    </row>
    <row r="65" spans="1:8" x14ac:dyDescent="0.25">
      <c r="A65" s="194" t="s">
        <v>271</v>
      </c>
      <c r="B65" t="s">
        <v>134</v>
      </c>
      <c r="C65" t="s">
        <v>260</v>
      </c>
      <c r="D65" t="s">
        <v>261</v>
      </c>
      <c r="E65">
        <v>-550000</v>
      </c>
      <c r="F65" t="s">
        <v>27</v>
      </c>
      <c r="G65">
        <v>550000</v>
      </c>
      <c r="H65">
        <v>0.02</v>
      </c>
    </row>
    <row r="66" spans="1:8" x14ac:dyDescent="0.25">
      <c r="A66" s="194" t="s">
        <v>271</v>
      </c>
      <c r="B66" t="s">
        <v>134</v>
      </c>
      <c r="C66" t="s">
        <v>262</v>
      </c>
      <c r="D66" t="s">
        <v>263</v>
      </c>
      <c r="E66">
        <v>2750</v>
      </c>
      <c r="F66" t="s">
        <v>27</v>
      </c>
      <c r="G66">
        <v>550000</v>
      </c>
      <c r="H66">
        <v>0.02</v>
      </c>
    </row>
    <row r="67" spans="1:8" x14ac:dyDescent="0.25">
      <c r="A67" s="194" t="s">
        <v>271</v>
      </c>
      <c r="B67" t="s">
        <v>134</v>
      </c>
      <c r="C67" t="s">
        <v>262</v>
      </c>
      <c r="D67" t="s">
        <v>264</v>
      </c>
      <c r="E67">
        <v>2750</v>
      </c>
      <c r="F67" t="s">
        <v>27</v>
      </c>
      <c r="G67">
        <v>550000</v>
      </c>
      <c r="H67">
        <v>0.02</v>
      </c>
    </row>
    <row r="68" spans="1:8" x14ac:dyDescent="0.25">
      <c r="A68" s="194" t="s">
        <v>271</v>
      </c>
      <c r="B68" t="s">
        <v>134</v>
      </c>
      <c r="C68" t="s">
        <v>262</v>
      </c>
      <c r="D68" t="s">
        <v>265</v>
      </c>
      <c r="E68">
        <v>2750</v>
      </c>
      <c r="F68" t="s">
        <v>27</v>
      </c>
      <c r="G68">
        <v>550000</v>
      </c>
      <c r="H68">
        <v>0.02</v>
      </c>
    </row>
    <row r="69" spans="1:8" x14ac:dyDescent="0.25">
      <c r="A69" s="194" t="s">
        <v>271</v>
      </c>
      <c r="B69" t="s">
        <v>134</v>
      </c>
      <c r="C69" t="s">
        <v>262</v>
      </c>
      <c r="D69" t="s">
        <v>266</v>
      </c>
      <c r="E69">
        <v>2750</v>
      </c>
      <c r="F69" t="s">
        <v>27</v>
      </c>
      <c r="G69">
        <v>550000</v>
      </c>
      <c r="H69">
        <v>0.02</v>
      </c>
    </row>
    <row r="70" spans="1:8" x14ac:dyDescent="0.25">
      <c r="A70" s="194" t="s">
        <v>271</v>
      </c>
      <c r="B70" t="s">
        <v>134</v>
      </c>
      <c r="C70" t="s">
        <v>267</v>
      </c>
      <c r="D70" t="s">
        <v>266</v>
      </c>
      <c r="E70">
        <v>550000</v>
      </c>
      <c r="F70" t="s">
        <v>27</v>
      </c>
      <c r="G70">
        <v>0</v>
      </c>
      <c r="H70">
        <v>0.02</v>
      </c>
    </row>
  </sheetData>
  <mergeCells count="2">
    <mergeCell ref="A1:J1"/>
    <mergeCell ref="A3:J3"/>
  </mergeCells>
  <pageMargins left="0.75" right="0.75" top="1" bottom="1" header="0.511811023622047" footer="0.511811023622047"/>
  <pageSetup paperSize="9" orientation="portrait" horizontalDpi="300" verticalDpi="300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B2A4A"/>
  </sheetPr>
  <dimension ref="A1:M54"/>
  <sheetViews>
    <sheetView showGridLines="0" tabSelected="1" zoomScaleNormal="100" workbookViewId="0">
      <pane ySplit="4" topLeftCell="A89" activePane="bottomLeft" state="frozen"/>
      <selection pane="bottomLeft" activeCell="N39" sqref="N39"/>
    </sheetView>
  </sheetViews>
  <sheetFormatPr defaultColWidth="8.7109375" defaultRowHeight="15" x14ac:dyDescent="0.25"/>
  <cols>
    <col min="1" max="1" width="22" customWidth="1"/>
    <col min="2" max="4" width="14" customWidth="1"/>
    <col min="5" max="5" width="16" customWidth="1"/>
    <col min="6" max="6" width="14" customWidth="1"/>
    <col min="7" max="7" width="38" customWidth="1"/>
    <col min="8" max="12" width="13" customWidth="1"/>
  </cols>
  <sheetData>
    <row r="1" spans="1:13" ht="19.5" customHeight="1" x14ac:dyDescent="0.25">
      <c r="A1" s="157" t="s">
        <v>147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"/>
    </row>
    <row r="2" spans="1:13" ht="19.5" customHeight="1" x14ac:dyDescent="0.25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"/>
    </row>
    <row r="3" spans="1:13" ht="21.75" customHeight="1" x14ac:dyDescent="0.25">
      <c r="A3" s="158" t="s">
        <v>148</v>
      </c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"/>
    </row>
    <row r="4" spans="1:13" ht="3" customHeight="1" x14ac:dyDescent="0.25">
      <c r="A4" s="159"/>
      <c r="B4" s="159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"/>
    </row>
    <row r="5" spans="1:13" ht="7.5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ht="4.5" customHeight="1" x14ac:dyDescent="0.25">
      <c r="A6" s="50"/>
      <c r="B6" s="50"/>
      <c r="C6" s="50"/>
      <c r="D6" s="50"/>
      <c r="E6" s="51"/>
      <c r="F6" s="51"/>
      <c r="G6" s="51"/>
      <c r="H6" s="51"/>
      <c r="I6" s="52"/>
      <c r="J6" s="52"/>
      <c r="K6" s="52"/>
      <c r="L6" s="52"/>
      <c r="M6" s="1"/>
    </row>
    <row r="7" spans="1:13" ht="18" customHeight="1" x14ac:dyDescent="0.25">
      <c r="A7" s="160" t="s">
        <v>149</v>
      </c>
      <c r="B7" s="160"/>
      <c r="C7" s="160"/>
      <c r="D7" s="160"/>
      <c r="E7" s="161" t="s">
        <v>150</v>
      </c>
      <c r="F7" s="161"/>
      <c r="G7" s="161"/>
      <c r="H7" s="161"/>
      <c r="I7" s="162" t="s">
        <v>151</v>
      </c>
      <c r="J7" s="162"/>
      <c r="K7" s="162"/>
      <c r="L7" s="162"/>
      <c r="M7" s="1"/>
    </row>
    <row r="8" spans="1:13" ht="25.5" customHeight="1" x14ac:dyDescent="0.25">
      <c r="A8" s="163" t="s">
        <v>152</v>
      </c>
      <c r="B8" s="163"/>
      <c r="C8" s="163"/>
      <c r="D8" s="163"/>
      <c r="E8" s="164" t="s">
        <v>153</v>
      </c>
      <c r="F8" s="164"/>
      <c r="G8" s="164"/>
      <c r="H8" s="164"/>
      <c r="I8" s="165" t="s">
        <v>154</v>
      </c>
      <c r="J8" s="165"/>
      <c r="K8" s="165"/>
      <c r="L8" s="165"/>
      <c r="M8" s="1"/>
    </row>
    <row r="9" spans="1:13" ht="30" customHeight="1" x14ac:dyDescent="0.25">
      <c r="A9" s="166">
        <f>SUMIF(Carbon_A[EventType],"IP",Carbon_A[Payoff])</f>
        <v>9000</v>
      </c>
      <c r="B9" s="167"/>
      <c r="C9" s="167"/>
      <c r="D9" s="167"/>
      <c r="E9" s="168">
        <f>SUMIFS(Carbon_B[Payoff],Carbon_B[ContractID],"carbonLOAN01-B",Carbon_B[EventType],"IP")+SUMIFS(Carbon_B[Payoff],Carbon_B[ContractID],"carbonSWAP-B",Carbon_B[EventType],"IP")</f>
        <v>-11729.000000000007</v>
      </c>
      <c r="F9" s="169"/>
      <c r="G9" s="169"/>
      <c r="H9" s="169"/>
      <c r="I9" s="170">
        <f>SUMIFS(Carbon_C[Payoff],Carbon_C[ContractID],"carbonLOAN01-C",Carbon_C[EventType],"IP")+SUMIFS(Carbon_C[Payoff],Carbon_C[ContractID],"carbonSWAP-C",Carbon_C[EventType],"IP")+SUMIFS(Carbon_C[Payoff],Carbon_C[ContractID],"carbonINS_01-C",Carbon_C[EventType],"IP")</f>
        <v>-729.00000000000728</v>
      </c>
      <c r="J9" s="171"/>
      <c r="K9" s="171"/>
      <c r="L9" s="171"/>
      <c r="M9" s="1"/>
    </row>
    <row r="10" spans="1:13" ht="30" customHeight="1" x14ac:dyDescent="0.25">
      <c r="A10" s="167"/>
      <c r="B10" s="167"/>
      <c r="C10" s="167"/>
      <c r="D10" s="167"/>
      <c r="E10" s="169"/>
      <c r="F10" s="169"/>
      <c r="G10" s="169"/>
      <c r="H10" s="169"/>
      <c r="I10" s="171"/>
      <c r="J10" s="171"/>
      <c r="K10" s="171"/>
      <c r="L10" s="171"/>
      <c r="M10" s="1"/>
    </row>
    <row r="11" spans="1:13" ht="18" customHeight="1" x14ac:dyDescent="0.25">
      <c r="A11" s="172" t="s">
        <v>155</v>
      </c>
      <c r="B11" s="172"/>
      <c r="C11" s="172"/>
      <c r="D11" s="172"/>
      <c r="E11" s="173" t="s">
        <v>156</v>
      </c>
      <c r="F11" s="173"/>
      <c r="G11" s="173"/>
      <c r="H11" s="173"/>
      <c r="I11" s="174" t="s">
        <v>156</v>
      </c>
      <c r="J11" s="174"/>
      <c r="K11" s="174"/>
      <c r="L11" s="174"/>
      <c r="M11" s="1"/>
    </row>
    <row r="12" spans="1:13" ht="19.5" customHeight="1" x14ac:dyDescent="0.25">
      <c r="A12" s="175" t="s">
        <v>157</v>
      </c>
      <c r="B12" s="175"/>
      <c r="C12" s="175"/>
      <c r="D12" s="175"/>
      <c r="E12" s="176" t="s">
        <v>158</v>
      </c>
      <c r="F12" s="176"/>
      <c r="G12" s="176"/>
      <c r="H12" s="176"/>
      <c r="I12" s="177" t="s">
        <v>159</v>
      </c>
      <c r="J12" s="177"/>
      <c r="K12" s="177"/>
      <c r="L12" s="177"/>
      <c r="M12" s="1"/>
    </row>
    <row r="13" spans="1:13" ht="21.75" customHeight="1" x14ac:dyDescent="0.25">
      <c r="A13" s="53"/>
      <c r="B13" s="53"/>
      <c r="C13" s="53"/>
      <c r="D13" s="53"/>
      <c r="E13" s="187" t="s">
        <v>160</v>
      </c>
      <c r="F13" s="187"/>
      <c r="G13" s="187"/>
      <c r="H13" s="187"/>
      <c r="I13" s="54"/>
      <c r="J13" s="54"/>
      <c r="K13" s="54"/>
      <c r="L13" s="54"/>
      <c r="M13" s="1"/>
    </row>
    <row r="14" spans="1:13" ht="4.5" customHeight="1" x14ac:dyDescent="0.25">
      <c r="A14" s="53"/>
      <c r="B14" s="53"/>
      <c r="C14" s="53"/>
      <c r="D14" s="53"/>
      <c r="E14" s="55"/>
      <c r="F14" s="55"/>
      <c r="G14" s="55"/>
      <c r="H14" s="55"/>
      <c r="I14" s="54"/>
      <c r="J14" s="54"/>
      <c r="K14" s="54"/>
      <c r="L14" s="54"/>
      <c r="M14" s="1"/>
    </row>
    <row r="15" spans="1:13" ht="4.5" customHeight="1" x14ac:dyDescent="0.25">
      <c r="A15" s="53"/>
      <c r="B15" s="53"/>
      <c r="C15" s="53"/>
      <c r="D15" s="53"/>
      <c r="E15" s="55"/>
      <c r="F15" s="55"/>
      <c r="G15" s="55"/>
      <c r="H15" s="55"/>
      <c r="I15" s="54"/>
      <c r="J15" s="54"/>
      <c r="K15" s="54"/>
      <c r="L15" s="54"/>
      <c r="M15" s="1"/>
    </row>
    <row r="16" spans="1:13" ht="7.5" customHeight="1" x14ac:dyDescent="0.25">
      <c r="A16" s="53"/>
      <c r="B16" s="53"/>
      <c r="C16" s="53"/>
      <c r="D16" s="53"/>
      <c r="E16" s="55"/>
      <c r="F16" s="55"/>
      <c r="G16" s="55"/>
      <c r="H16" s="55"/>
      <c r="I16" s="54"/>
      <c r="J16" s="54"/>
      <c r="K16" s="54"/>
      <c r="L16" s="54"/>
      <c r="M16" s="1"/>
    </row>
    <row r="17" spans="1:13" ht="18" customHeight="1" x14ac:dyDescent="0.25">
      <c r="A17" s="148" t="s">
        <v>161</v>
      </c>
      <c r="B17" s="148"/>
      <c r="C17" s="148"/>
      <c r="D17" s="148"/>
      <c r="E17" s="148"/>
      <c r="F17" s="148"/>
      <c r="G17" s="148"/>
      <c r="H17" s="148"/>
      <c r="I17" s="148"/>
      <c r="J17" s="148"/>
      <c r="K17" s="148"/>
      <c r="L17" s="148"/>
      <c r="M17" s="1"/>
    </row>
    <row r="18" spans="1:13" ht="15.75" customHeight="1" x14ac:dyDescent="0.25">
      <c r="A18" s="2" t="s">
        <v>162</v>
      </c>
      <c r="B18" s="2" t="s">
        <v>163</v>
      </c>
      <c r="C18" s="2" t="s">
        <v>164</v>
      </c>
      <c r="D18" s="2" t="s">
        <v>165</v>
      </c>
      <c r="E18" s="2" t="s">
        <v>166</v>
      </c>
      <c r="F18" s="2" t="s">
        <v>167</v>
      </c>
      <c r="G18" s="2" t="s">
        <v>168</v>
      </c>
      <c r="H18" s="1"/>
      <c r="I18" s="1"/>
      <c r="J18" s="1"/>
      <c r="K18" s="1"/>
      <c r="L18" s="1"/>
      <c r="M18" s="1"/>
    </row>
    <row r="19" spans="1:13" ht="19.5" customHeight="1" x14ac:dyDescent="0.25">
      <c r="A19" s="56" t="s">
        <v>169</v>
      </c>
      <c r="B19" s="118">
        <f>SUMIF(Carbon_A[EventType],"IP",Carbon_A[Payoff])</f>
        <v>9000</v>
      </c>
      <c r="C19" s="121">
        <f>SUMIFS(Carbon_B[Payoff],Carbon_B[ContractID],"carbonLOAN01-B",Carbon_B[EventType],"IP")</f>
        <v>9000</v>
      </c>
      <c r="D19" s="124">
        <f>SUMIFS(Carbon_C[Payoff],Carbon_C[ContractID],"carbonLOAN01-C",Carbon_C[EventType],"IP")</f>
        <v>9000</v>
      </c>
      <c r="E19" s="127">
        <f>B19-C19</f>
        <v>0</v>
      </c>
      <c r="F19" s="127">
        <f>B19-D19</f>
        <v>0</v>
      </c>
      <c r="G19" s="47" t="s">
        <v>170</v>
      </c>
      <c r="H19" s="1"/>
      <c r="I19" s="1"/>
      <c r="J19" s="1"/>
      <c r="K19" s="1"/>
      <c r="L19" s="1"/>
      <c r="M19" s="1"/>
    </row>
    <row r="20" spans="1:13" ht="19.5" customHeight="1" x14ac:dyDescent="0.25">
      <c r="A20" s="61" t="s">
        <v>171</v>
      </c>
      <c r="B20" s="119">
        <v>0</v>
      </c>
      <c r="C20" s="122">
        <f>SUMIFS(Carbon_B[Payoff],Carbon_B[ContractID],"carbonSWAP-B",Carbon_B[EventType],"IP")</f>
        <v>-20729.000000000007</v>
      </c>
      <c r="D20" s="125">
        <f>SUMIFS(Carbon_C[Payoff],Carbon_C[ContractID],"carbonSWAP-C",Carbon_C[EventType],"IP")</f>
        <v>-20729.000000000007</v>
      </c>
      <c r="E20" s="128">
        <f>C20-B20</f>
        <v>-20729.000000000007</v>
      </c>
      <c r="F20" s="128">
        <f>D20-B20</f>
        <v>-20729.000000000007</v>
      </c>
      <c r="G20" s="42" t="s">
        <v>173</v>
      </c>
      <c r="H20" s="1"/>
      <c r="I20" s="1"/>
      <c r="J20" s="1"/>
      <c r="K20" s="1"/>
      <c r="L20" s="1"/>
      <c r="M20" s="1"/>
    </row>
    <row r="21" spans="1:13" ht="19.5" customHeight="1" x14ac:dyDescent="0.25">
      <c r="A21" s="56" t="s">
        <v>174</v>
      </c>
      <c r="B21" s="118">
        <v>0</v>
      </c>
      <c r="C21" s="121">
        <v>0</v>
      </c>
      <c r="D21" s="124">
        <f>SUMIFS(Carbon_C[Payoff],Carbon_C[ContractID],"carbonINS_01-C",Carbon_C[EventType],"IP")</f>
        <v>11000</v>
      </c>
      <c r="E21" s="127">
        <v>0</v>
      </c>
      <c r="F21" s="129">
        <f>-D21</f>
        <v>-11000</v>
      </c>
      <c r="G21" s="47" t="s">
        <v>175</v>
      </c>
      <c r="H21" s="1"/>
      <c r="I21" s="1"/>
      <c r="J21" s="1"/>
      <c r="K21" s="1"/>
      <c r="L21" s="1"/>
      <c r="M21" s="1"/>
    </row>
    <row r="22" spans="1:13" ht="19.5" customHeight="1" x14ac:dyDescent="0.25">
      <c r="A22" s="65" t="s">
        <v>146</v>
      </c>
      <c r="B22" s="120">
        <f>SUMIF(Carbon_A[EventType],"IP",Carbon_A[Payoff])</f>
        <v>9000</v>
      </c>
      <c r="C22" s="123">
        <f>SUMIFS(Carbon_B[Payoff],Carbon_B[ContractID],"carbonLOAN01-B",Carbon_B[EventType],"IP")+SUMIFS(Carbon_B[Payoff],Carbon_B[ContractID],"carbonSWAP-B",Carbon_B[EventType],"IP")</f>
        <v>-11729.000000000007</v>
      </c>
      <c r="D22" s="126">
        <f>SUMIFS(Carbon_C[Payoff],Carbon_C[ContractID],"carbonLOAN01-C",Carbon_C[EventType],"IP")+SUMIFS(Carbon_C[Payoff],Carbon_C[ContractID],"carbonSWAP-C",Carbon_C[EventType],"IP")+SUMIFS(Carbon_C[Payoff],Carbon_C[ContractID],"carbonINS_01-C",Carbon_C[EventType],"IP")</f>
        <v>-729.00000000000728</v>
      </c>
      <c r="E22" s="128">
        <f>B22-C22</f>
        <v>20729.000000000007</v>
      </c>
      <c r="F22" s="128">
        <f>B22-D22</f>
        <v>9729.0000000000073</v>
      </c>
      <c r="G22" s="66" t="s">
        <v>177</v>
      </c>
      <c r="H22" s="1"/>
      <c r="I22" s="1"/>
      <c r="J22" s="1"/>
      <c r="K22" s="1"/>
      <c r="L22" s="1"/>
      <c r="M22" s="1"/>
    </row>
    <row r="23" spans="1:13" ht="19.5" customHeight="1" x14ac:dyDescent="0.25">
      <c r="A23" s="56" t="s">
        <v>178</v>
      </c>
      <c r="B23" s="57" t="s">
        <v>179</v>
      </c>
      <c r="C23" s="58" t="s">
        <v>180</v>
      </c>
      <c r="D23" s="59" t="s">
        <v>180</v>
      </c>
      <c r="E23" s="60" t="s">
        <v>181</v>
      </c>
      <c r="F23" s="60" t="s">
        <v>181</v>
      </c>
      <c r="G23" s="47" t="s">
        <v>182</v>
      </c>
      <c r="H23" s="1"/>
      <c r="I23" s="1"/>
      <c r="J23" s="1"/>
      <c r="K23" s="1"/>
      <c r="L23" s="1"/>
      <c r="M23" s="1"/>
    </row>
    <row r="24" spans="1:13" ht="19.5" customHeight="1" x14ac:dyDescent="0.25">
      <c r="A24" s="61" t="s">
        <v>183</v>
      </c>
      <c r="B24" s="62" t="s">
        <v>184</v>
      </c>
      <c r="C24" s="63" t="s">
        <v>184</v>
      </c>
      <c r="D24" s="64" t="s">
        <v>185</v>
      </c>
      <c r="E24" s="67" t="s">
        <v>118</v>
      </c>
      <c r="F24" s="67" t="s">
        <v>186</v>
      </c>
      <c r="G24" s="42" t="s">
        <v>187</v>
      </c>
      <c r="H24" s="1"/>
      <c r="I24" s="1"/>
      <c r="J24" s="1"/>
      <c r="K24" s="1"/>
      <c r="L24" s="1"/>
      <c r="M24" s="1"/>
    </row>
    <row r="25" spans="1:13" ht="19.5" customHeight="1" x14ac:dyDescent="0.25">
      <c r="A25" s="56" t="s">
        <v>188</v>
      </c>
      <c r="B25" s="57" t="s">
        <v>189</v>
      </c>
      <c r="C25" s="58" t="s">
        <v>190</v>
      </c>
      <c r="D25" s="59" t="s">
        <v>190</v>
      </c>
      <c r="E25" s="60" t="s">
        <v>191</v>
      </c>
      <c r="F25" s="60" t="s">
        <v>191</v>
      </c>
      <c r="G25" s="47" t="s">
        <v>192</v>
      </c>
      <c r="H25" s="1"/>
      <c r="I25" s="1"/>
      <c r="J25" s="1"/>
      <c r="K25" s="1"/>
      <c r="L25" s="1"/>
      <c r="M25" s="1"/>
    </row>
    <row r="26" spans="1:13" ht="1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ht="7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ht="19.5" customHeight="1" x14ac:dyDescent="0.25">
      <c r="A28" s="188" t="s">
        <v>193</v>
      </c>
      <c r="B28" s="188"/>
      <c r="C28" s="188"/>
      <c r="D28" s="188"/>
      <c r="E28" s="188"/>
      <c r="F28" s="188"/>
      <c r="G28" s="188"/>
      <c r="H28" s="188"/>
      <c r="I28" s="188"/>
      <c r="J28" s="188"/>
      <c r="K28" s="188"/>
      <c r="L28" s="188"/>
      <c r="M28" s="1"/>
    </row>
    <row r="29" spans="1:13" ht="19.5" customHeight="1" x14ac:dyDescent="0.25">
      <c r="A29" s="188"/>
      <c r="B29" s="188"/>
      <c r="C29" s="188"/>
      <c r="D29" s="188"/>
      <c r="E29" s="188"/>
      <c r="F29" s="188"/>
      <c r="G29" s="188"/>
      <c r="H29" s="188"/>
      <c r="I29" s="188"/>
      <c r="J29" s="188"/>
      <c r="K29" s="188"/>
      <c r="L29" s="188"/>
      <c r="M29" s="1"/>
    </row>
    <row r="30" spans="1:13" ht="19.5" customHeight="1" x14ac:dyDescent="0.25">
      <c r="A30" s="188"/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"/>
    </row>
    <row r="31" spans="1:13" ht="19.5" customHeight="1" x14ac:dyDescent="0.25">
      <c r="A31" s="188"/>
      <c r="B31" s="188"/>
      <c r="C31" s="188"/>
      <c r="D31" s="188"/>
      <c r="E31" s="188"/>
      <c r="F31" s="188"/>
      <c r="G31" s="188"/>
      <c r="H31" s="188"/>
      <c r="I31" s="188"/>
      <c r="J31" s="188"/>
      <c r="K31" s="188"/>
      <c r="L31" s="188"/>
      <c r="M31" s="1"/>
    </row>
    <row r="32" spans="1:13" ht="19.5" customHeight="1" x14ac:dyDescent="0.25">
      <c r="A32" s="188"/>
      <c r="B32" s="188"/>
      <c r="C32" s="188"/>
      <c r="D32" s="188"/>
      <c r="E32" s="188"/>
      <c r="F32" s="188"/>
      <c r="G32" s="188"/>
      <c r="H32" s="188"/>
      <c r="I32" s="188"/>
      <c r="J32" s="188"/>
      <c r="K32" s="188"/>
      <c r="L32" s="188"/>
      <c r="M32" s="1"/>
    </row>
    <row r="33" spans="1:13" ht="7.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ht="18" customHeight="1" x14ac:dyDescent="0.25">
      <c r="A34" s="148" t="s">
        <v>194</v>
      </c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"/>
    </row>
    <row r="35" spans="1:13" ht="15.75" customHeight="1" x14ac:dyDescent="0.25">
      <c r="A35" s="2" t="s">
        <v>61</v>
      </c>
      <c r="B35" s="2" t="s">
        <v>62</v>
      </c>
      <c r="C35" s="2" t="s">
        <v>195</v>
      </c>
      <c r="D35" s="2" t="s">
        <v>196</v>
      </c>
      <c r="E35" s="2" t="s">
        <v>65</v>
      </c>
      <c r="F35" s="2" t="s">
        <v>66</v>
      </c>
      <c r="G35" s="2" t="s">
        <v>145</v>
      </c>
      <c r="H35" s="1"/>
      <c r="I35" s="1"/>
      <c r="J35" s="1"/>
      <c r="K35" s="1"/>
      <c r="L35" s="1"/>
      <c r="M35" s="1"/>
    </row>
    <row r="36" spans="1:13" ht="18.75" customHeight="1" x14ac:dyDescent="0.25">
      <c r="A36" s="17" t="s">
        <v>68</v>
      </c>
      <c r="B36" s="17" t="s">
        <v>69</v>
      </c>
      <c r="C36" s="68" t="s">
        <v>197</v>
      </c>
      <c r="D36" s="17">
        <v>1</v>
      </c>
      <c r="E36" s="69" t="s">
        <v>198</v>
      </c>
      <c r="F36" s="70" t="s">
        <v>199</v>
      </c>
      <c r="G36" s="22" t="s">
        <v>200</v>
      </c>
      <c r="H36" s="1"/>
      <c r="I36" s="1"/>
      <c r="J36" s="1"/>
      <c r="K36" s="1"/>
      <c r="L36" s="1"/>
      <c r="M36" s="1"/>
    </row>
    <row r="37" spans="1:13" ht="18.75" customHeight="1" x14ac:dyDescent="0.25">
      <c r="A37" s="23" t="s">
        <v>71</v>
      </c>
      <c r="B37" s="23" t="s">
        <v>72</v>
      </c>
      <c r="C37" s="71" t="s">
        <v>197</v>
      </c>
      <c r="D37" s="23">
        <v>1</v>
      </c>
      <c r="E37" s="72" t="s">
        <v>198</v>
      </c>
      <c r="F37" s="73" t="s">
        <v>199</v>
      </c>
      <c r="G37" s="28" t="s">
        <v>201</v>
      </c>
      <c r="H37" s="1"/>
      <c r="I37" s="1"/>
      <c r="J37" s="1"/>
      <c r="K37" s="1"/>
      <c r="L37" s="1"/>
      <c r="M37" s="1"/>
    </row>
    <row r="38" spans="1:13" ht="18.75" customHeight="1" x14ac:dyDescent="0.25">
      <c r="A38" s="29" t="s">
        <v>74</v>
      </c>
      <c r="B38" s="29" t="s">
        <v>75</v>
      </c>
      <c r="C38" s="74" t="s">
        <v>202</v>
      </c>
      <c r="D38" s="29">
        <v>0.66669999999999996</v>
      </c>
      <c r="E38" s="75" t="s">
        <v>203</v>
      </c>
      <c r="F38" s="75" t="s">
        <v>204</v>
      </c>
      <c r="G38" s="34" t="s">
        <v>205</v>
      </c>
      <c r="H38" s="1"/>
      <c r="I38" s="1"/>
      <c r="J38" s="1"/>
      <c r="K38" s="1"/>
      <c r="L38" s="1"/>
      <c r="M38" s="1"/>
    </row>
    <row r="39" spans="1:13" ht="18.75" customHeight="1" x14ac:dyDescent="0.25">
      <c r="A39" s="29" t="s">
        <v>77</v>
      </c>
      <c r="B39" s="29" t="s">
        <v>78</v>
      </c>
      <c r="C39" s="74" t="s">
        <v>202</v>
      </c>
      <c r="D39" s="29">
        <v>0.66669999999999996</v>
      </c>
      <c r="E39" s="75" t="s">
        <v>203</v>
      </c>
      <c r="F39" s="75" t="s">
        <v>204</v>
      </c>
      <c r="G39" s="34" t="s">
        <v>206</v>
      </c>
      <c r="H39" s="1"/>
      <c r="I39" s="1"/>
      <c r="J39" s="1"/>
      <c r="K39" s="1"/>
      <c r="L39" s="1"/>
      <c r="M39" s="1"/>
    </row>
    <row r="40" spans="1:13" ht="18.75" customHeight="1" x14ac:dyDescent="0.25">
      <c r="A40" s="23" t="s">
        <v>79</v>
      </c>
      <c r="B40" s="23" t="s">
        <v>80</v>
      </c>
      <c r="C40" s="71" t="s">
        <v>207</v>
      </c>
      <c r="D40" s="23">
        <v>0.83330000000000004</v>
      </c>
      <c r="E40" s="72" t="s">
        <v>208</v>
      </c>
      <c r="F40" s="73" t="s">
        <v>209</v>
      </c>
      <c r="G40" s="28" t="s">
        <v>210</v>
      </c>
      <c r="H40" s="1"/>
      <c r="I40" s="1"/>
      <c r="J40" s="1"/>
      <c r="K40" s="1"/>
      <c r="L40" s="1"/>
      <c r="M40" s="1"/>
    </row>
    <row r="41" spans="1:13" ht="15" customHeight="1" x14ac:dyDescent="0.25">
      <c r="A41" s="183" t="s">
        <v>237</v>
      </c>
      <c r="B41" s="184"/>
      <c r="C41" s="184"/>
      <c r="D41" s="184"/>
      <c r="E41" s="184"/>
      <c r="F41" s="184"/>
      <c r="G41" s="184"/>
      <c r="H41" s="185"/>
      <c r="I41" s="184"/>
      <c r="J41" s="184"/>
      <c r="K41" s="184"/>
      <c r="L41" s="186"/>
      <c r="M41" s="1"/>
    </row>
    <row r="42" spans="1:13" ht="15" customHeight="1" x14ac:dyDescent="0.25">
      <c r="A42" s="189" t="s">
        <v>229</v>
      </c>
      <c r="B42" s="189"/>
      <c r="C42" s="189"/>
      <c r="D42" s="190"/>
      <c r="E42" s="191" t="s">
        <v>230</v>
      </c>
      <c r="F42" s="191"/>
      <c r="G42" s="191"/>
      <c r="H42" s="192"/>
      <c r="I42" s="193" t="s">
        <v>231</v>
      </c>
      <c r="J42" s="193"/>
      <c r="K42" s="193"/>
      <c r="L42" s="193"/>
      <c r="M42" s="1"/>
    </row>
    <row r="43" spans="1:13" ht="15" customHeight="1" x14ac:dyDescent="0.35">
      <c r="A43" s="178" t="s">
        <v>172</v>
      </c>
      <c r="B43" s="178"/>
      <c r="C43" s="178"/>
      <c r="D43" s="179"/>
      <c r="E43" s="180" t="s">
        <v>176</v>
      </c>
      <c r="F43" s="180"/>
      <c r="G43" s="180"/>
      <c r="H43" s="181"/>
      <c r="I43" s="182" t="s">
        <v>232</v>
      </c>
      <c r="J43" s="182"/>
      <c r="K43" s="182"/>
      <c r="L43" s="182"/>
      <c r="M43" s="1"/>
    </row>
    <row r="44" spans="1:13" ht="1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ht="1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ht="1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ht="1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ht="1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ht="1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ht="1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  <row r="51" spans="1:13" ht="1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</row>
    <row r="52" spans="1:13" ht="1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</row>
    <row r="53" spans="1:13" ht="1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</row>
    <row r="54" spans="1:13" ht="1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</row>
  </sheetData>
  <mergeCells count="29">
    <mergeCell ref="A43:D43"/>
    <mergeCell ref="E43:H43"/>
    <mergeCell ref="I43:L43"/>
    <mergeCell ref="A41:L41"/>
    <mergeCell ref="E13:H13"/>
    <mergeCell ref="A17:L17"/>
    <mergeCell ref="A28:L32"/>
    <mergeCell ref="A34:L34"/>
    <mergeCell ref="A42:D42"/>
    <mergeCell ref="E42:H42"/>
    <mergeCell ref="I42:L42"/>
    <mergeCell ref="A11:D11"/>
    <mergeCell ref="E11:H11"/>
    <mergeCell ref="I11:L11"/>
    <mergeCell ref="A12:D12"/>
    <mergeCell ref="E12:H12"/>
    <mergeCell ref="I12:L12"/>
    <mergeCell ref="A8:D8"/>
    <mergeCell ref="E8:H8"/>
    <mergeCell ref="I8:L8"/>
    <mergeCell ref="A9:D10"/>
    <mergeCell ref="E9:H10"/>
    <mergeCell ref="I9:L10"/>
    <mergeCell ref="A1:L2"/>
    <mergeCell ref="A3:L3"/>
    <mergeCell ref="A4:L4"/>
    <mergeCell ref="A7:D7"/>
    <mergeCell ref="E7:H7"/>
    <mergeCell ref="I7:L7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6C48-E49B-4764-BDFC-B67243F9901A}">
  <sheetPr codeName="Sheet5"/>
  <dimension ref="A1:J27"/>
  <sheetViews>
    <sheetView workbookViewId="0"/>
  </sheetViews>
  <sheetFormatPr defaultRowHeight="15" x14ac:dyDescent="0.25"/>
  <sheetData>
    <row r="1" spans="1:10" x14ac:dyDescent="0.25">
      <c r="A1" t="s">
        <v>211</v>
      </c>
      <c r="B1" t="s">
        <v>30</v>
      </c>
      <c r="C1" t="s">
        <v>212</v>
      </c>
      <c r="D1" t="s">
        <v>213</v>
      </c>
      <c r="E1" t="s">
        <v>214</v>
      </c>
      <c r="G1" t="s">
        <v>211</v>
      </c>
      <c r="H1" t="s">
        <v>212</v>
      </c>
      <c r="I1" t="s">
        <v>233</v>
      </c>
      <c r="J1" t="s">
        <v>234</v>
      </c>
    </row>
    <row r="2" spans="1:10" x14ac:dyDescent="0.25">
      <c r="A2" t="s">
        <v>68</v>
      </c>
      <c r="B2" s="76">
        <v>46023</v>
      </c>
      <c r="C2">
        <v>42</v>
      </c>
      <c r="D2">
        <v>38</v>
      </c>
      <c r="E2">
        <v>28</v>
      </c>
      <c r="G2" t="s">
        <v>68</v>
      </c>
      <c r="H2">
        <v>42</v>
      </c>
      <c r="I2">
        <v>38</v>
      </c>
      <c r="J2">
        <v>28</v>
      </c>
    </row>
    <row r="3" spans="1:10" x14ac:dyDescent="0.25">
      <c r="A3" t="s">
        <v>71</v>
      </c>
      <c r="B3" s="76">
        <v>46113</v>
      </c>
      <c r="C3">
        <v>42</v>
      </c>
      <c r="D3">
        <v>38</v>
      </c>
      <c r="E3">
        <v>28</v>
      </c>
      <c r="G3" t="s">
        <v>71</v>
      </c>
      <c r="H3">
        <v>42</v>
      </c>
      <c r="I3">
        <v>38</v>
      </c>
      <c r="J3">
        <v>28</v>
      </c>
    </row>
    <row r="4" spans="1:10" x14ac:dyDescent="0.25">
      <c r="A4" t="s">
        <v>74</v>
      </c>
      <c r="B4" s="76">
        <v>46204</v>
      </c>
      <c r="C4">
        <v>28</v>
      </c>
      <c r="D4">
        <v>38</v>
      </c>
      <c r="E4">
        <v>28</v>
      </c>
      <c r="G4" t="s">
        <v>235</v>
      </c>
      <c r="H4">
        <v>28</v>
      </c>
      <c r="I4">
        <v>38</v>
      </c>
      <c r="J4">
        <v>28</v>
      </c>
    </row>
    <row r="5" spans="1:10" x14ac:dyDescent="0.25">
      <c r="A5" t="s">
        <v>77</v>
      </c>
      <c r="B5" s="76">
        <v>46296</v>
      </c>
      <c r="C5">
        <v>28</v>
      </c>
      <c r="D5">
        <v>38</v>
      </c>
      <c r="E5">
        <v>28</v>
      </c>
      <c r="G5" t="s">
        <v>236</v>
      </c>
      <c r="H5">
        <v>28</v>
      </c>
      <c r="I5">
        <v>38</v>
      </c>
      <c r="J5">
        <v>28</v>
      </c>
    </row>
    <row r="6" spans="1:10" x14ac:dyDescent="0.25">
      <c r="A6" t="s">
        <v>79</v>
      </c>
      <c r="B6" s="76">
        <v>46388</v>
      </c>
      <c r="C6">
        <v>35</v>
      </c>
      <c r="D6">
        <v>38</v>
      </c>
      <c r="E6">
        <v>28</v>
      </c>
      <c r="G6" t="s">
        <v>79</v>
      </c>
      <c r="H6">
        <v>35</v>
      </c>
      <c r="I6">
        <v>38</v>
      </c>
      <c r="J6">
        <v>28</v>
      </c>
    </row>
    <row r="10" spans="1:10" x14ac:dyDescent="0.25">
      <c r="A10" t="s">
        <v>211</v>
      </c>
      <c r="B10" t="s">
        <v>215</v>
      </c>
      <c r="C10" t="s">
        <v>216</v>
      </c>
      <c r="D10" t="s">
        <v>217</v>
      </c>
    </row>
    <row r="11" spans="1:10" x14ac:dyDescent="0.25">
      <c r="A11" t="s">
        <v>71</v>
      </c>
      <c r="B11">
        <v>4900</v>
      </c>
      <c r="C11">
        <v>4900</v>
      </c>
      <c r="D11">
        <v>7000</v>
      </c>
    </row>
    <row r="12" spans="1:10" x14ac:dyDescent="0.25">
      <c r="A12" t="s">
        <v>74</v>
      </c>
      <c r="B12">
        <v>4900</v>
      </c>
      <c r="C12">
        <v>-20100</v>
      </c>
      <c r="D12">
        <v>-18000</v>
      </c>
    </row>
    <row r="13" spans="1:10" x14ac:dyDescent="0.25">
      <c r="A13" t="s">
        <v>77</v>
      </c>
      <c r="B13">
        <v>4900</v>
      </c>
      <c r="C13">
        <v>-20100</v>
      </c>
      <c r="D13">
        <v>-18000</v>
      </c>
    </row>
    <row r="14" spans="1:10" x14ac:dyDescent="0.25">
      <c r="A14" t="s">
        <v>79</v>
      </c>
      <c r="B14">
        <v>4900</v>
      </c>
      <c r="C14">
        <v>-2600</v>
      </c>
      <c r="D14">
        <v>-600</v>
      </c>
    </row>
    <row r="18" spans="1:9" x14ac:dyDescent="0.25">
      <c r="A18" t="s">
        <v>218</v>
      </c>
      <c r="B18" t="s">
        <v>219</v>
      </c>
      <c r="C18" t="s">
        <v>220</v>
      </c>
    </row>
    <row r="19" spans="1:9" x14ac:dyDescent="0.25">
      <c r="A19" t="s">
        <v>221</v>
      </c>
      <c r="B19">
        <v>19600</v>
      </c>
      <c r="C19">
        <v>19600</v>
      </c>
    </row>
    <row r="20" spans="1:9" x14ac:dyDescent="0.25">
      <c r="A20" t="s">
        <v>222</v>
      </c>
      <c r="B20">
        <v>19600</v>
      </c>
      <c r="C20">
        <v>-37900</v>
      </c>
    </row>
    <row r="21" spans="1:9" x14ac:dyDescent="0.25">
      <c r="A21" t="s">
        <v>223</v>
      </c>
      <c r="B21">
        <v>28000</v>
      </c>
      <c r="C21">
        <v>-49100</v>
      </c>
    </row>
    <row r="24" spans="1:9" x14ac:dyDescent="0.25">
      <c r="A24" t="s">
        <v>224</v>
      </c>
      <c r="B24" t="s">
        <v>225</v>
      </c>
      <c r="C24" t="s">
        <v>226</v>
      </c>
      <c r="G24" t="s">
        <v>224</v>
      </c>
      <c r="H24" t="s">
        <v>251</v>
      </c>
      <c r="I24" t="s">
        <v>252</v>
      </c>
    </row>
    <row r="25" spans="1:9" x14ac:dyDescent="0.25">
      <c r="A25" t="s">
        <v>227</v>
      </c>
      <c r="B25">
        <v>100</v>
      </c>
      <c r="C25">
        <v>0</v>
      </c>
      <c r="G25" t="s">
        <v>227</v>
      </c>
      <c r="H25">
        <v>100</v>
      </c>
      <c r="I25">
        <v>0</v>
      </c>
    </row>
    <row r="26" spans="1:9" x14ac:dyDescent="0.25">
      <c r="A26" t="s">
        <v>178</v>
      </c>
      <c r="B26">
        <v>100</v>
      </c>
      <c r="C26">
        <v>0</v>
      </c>
      <c r="G26" t="s">
        <v>178</v>
      </c>
      <c r="H26">
        <v>100</v>
      </c>
      <c r="I26">
        <v>0</v>
      </c>
    </row>
    <row r="27" spans="1:9" x14ac:dyDescent="0.25">
      <c r="A27" t="s">
        <v>228</v>
      </c>
      <c r="B27">
        <v>100</v>
      </c>
      <c r="C27">
        <v>0</v>
      </c>
      <c r="G27" t="s">
        <v>228</v>
      </c>
      <c r="H27">
        <v>100</v>
      </c>
      <c r="I2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3AAC8-D35B-41FD-B7D4-207AF43B2C31}">
  <sheetPr codeName="Sheet7"/>
  <dimension ref="A1"/>
  <sheetViews>
    <sheetView workbookViewId="0">
      <selection activeCell="A6" sqref="A6:G12"/>
    </sheetView>
  </sheetViews>
  <sheetFormatPr defaultRowHeight="15" x14ac:dyDescent="0.25"/>
  <cols>
    <col min="1" max="1" width="12.42578125" bestFit="1" customWidth="1"/>
    <col min="2" max="2" width="12.5703125" bestFit="1" customWidth="1"/>
    <col min="3" max="3" width="16.140625" bestFit="1" customWidth="1"/>
    <col min="4" max="4" width="9" bestFit="1" customWidth="1"/>
    <col min="5" max="5" width="11.140625" bestFit="1" customWidth="1"/>
    <col min="6" max="6" width="16.140625" bestFit="1" customWidth="1"/>
    <col min="7" max="7" width="14.8554687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86F67-F2C0-4BD6-BD24-A247D541CB18}">
  <sheetPr codeName="Sheet8"/>
  <dimension ref="A1"/>
  <sheetViews>
    <sheetView workbookViewId="0">
      <selection activeCell="A15" sqref="A15:H37"/>
    </sheetView>
  </sheetViews>
  <sheetFormatPr defaultRowHeight="15" x14ac:dyDescent="0.25"/>
  <cols>
    <col min="1" max="1" width="13.5703125" bestFit="1" customWidth="1"/>
    <col min="2" max="2" width="16" bestFit="1" customWidth="1"/>
    <col min="3" max="3" width="12.5703125" bestFit="1" customWidth="1"/>
    <col min="4" max="4" width="16.140625" bestFit="1" customWidth="1"/>
    <col min="5" max="5" width="9" bestFit="1" customWidth="1"/>
    <col min="6" max="6" width="11.140625" bestFit="1" customWidth="1"/>
    <col min="7" max="7" width="16.140625" bestFit="1" customWidth="1"/>
    <col min="8" max="8" width="14.8554687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B56ED-85C0-4906-AB5A-6BE66FC86519}">
  <sheetPr codeName="Sheet9"/>
  <dimension ref="A1"/>
  <sheetViews>
    <sheetView topLeftCell="A30" workbookViewId="0">
      <selection activeCell="A42" sqref="A42:H70"/>
    </sheetView>
  </sheetViews>
  <sheetFormatPr defaultRowHeight="15" x14ac:dyDescent="0.25"/>
  <cols>
    <col min="1" max="1" width="16.7109375" bestFit="1" customWidth="1"/>
    <col min="2" max="2" width="16" bestFit="1" customWidth="1"/>
    <col min="3" max="3" width="12.5703125" bestFit="1" customWidth="1"/>
    <col min="4" max="4" width="16.140625" bestFit="1" customWidth="1"/>
    <col min="5" max="5" width="9" bestFit="1" customWidth="1"/>
    <col min="6" max="6" width="11.140625" bestFit="1" customWidth="1"/>
    <col min="7" max="7" width="16.140625" bestFit="1" customWidth="1"/>
    <col min="8" max="8" width="14.8554687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1987CA-20E1-4B21-A29F-47256FB389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⚡ Inputs</vt:lpstr>
      <vt:lpstr>⚙ Contracts</vt:lpstr>
      <vt:lpstr>📡 Response</vt:lpstr>
      <vt:lpstr>📊 Insights</vt:lpstr>
      <vt:lpstr>_ChartData</vt:lpstr>
      <vt:lpstr>Carbon_A</vt:lpstr>
      <vt:lpstr>Carbon_B</vt:lpstr>
      <vt:lpstr>Carbon_C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Kaarunyan Chandrasekaran</cp:lastModifiedBy>
  <cp:revision>0</cp:revision>
  <dcterms:created xsi:type="dcterms:W3CDTF">2026-03-15T12:19:55Z</dcterms:created>
  <dcterms:modified xsi:type="dcterms:W3CDTF">2026-03-16T18:29:29Z</dcterms:modified>
  <dc:language>en-US</dc:language>
</cp:coreProperties>
</file>